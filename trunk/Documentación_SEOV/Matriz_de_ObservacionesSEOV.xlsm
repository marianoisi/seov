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75" windowWidth="15480" windowHeight="8520" tabRatio="783" activeTab="3"/>
  </bookViews>
  <sheets>
    <sheet name="General" sheetId="1" r:id="rId1"/>
    <sheet name="Resumen" sheetId="2" r:id="rId2"/>
    <sheet name="Iteracion" sheetId="3" r:id="rId3"/>
    <sheet name="Observaciones" sheetId="4" r:id="rId4"/>
    <sheet name="Formatos, Estilos y Ortografía" sheetId="8" r:id="rId5"/>
    <sheet name="Consultas" sheetId="5" state="hidden" r:id="rId6"/>
    <sheet name="HistoricoAvance" sheetId="6" r:id="rId7"/>
    <sheet name="CuadrosResumen" sheetId="7" r:id="rId8"/>
  </sheets>
  <functionGroups builtInGroupCount="17"/>
  <definedNames>
    <definedName name="Formatos">Tabla7[]</definedName>
  </definedNames>
  <calcPr calcId="144525"/>
  <pivotCaches>
    <pivotCache cacheId="0" r:id="rId9"/>
    <pivotCache cacheId="1" r:id="rId10"/>
    <pivotCache cacheId="2" r:id="rId11"/>
    <pivotCache cacheId="3" r:id="rId12"/>
    <pivotCache cacheId="4" r:id="rId13"/>
    <pivotCache cacheId="5" r:id="rId14"/>
  </pivotCaches>
</workbook>
</file>

<file path=xl/calcChain.xml><?xml version="1.0" encoding="utf-8"?>
<calcChain xmlns="http://schemas.openxmlformats.org/spreadsheetml/2006/main">
  <c r="O10" i="6" l="1"/>
  <c r="J10" i="6"/>
  <c r="I6" i="3"/>
  <c r="I7" i="3"/>
  <c r="I8" i="3"/>
  <c r="I9" i="3"/>
  <c r="I10" i="3"/>
  <c r="I11" i="3"/>
  <c r="I5" i="3"/>
  <c r="F28" i="4"/>
  <c r="K28" i="4" s="1"/>
  <c r="C28" i="4"/>
  <c r="D28" i="4" s="1"/>
  <c r="L28" i="4"/>
  <c r="F27" i="4"/>
  <c r="K27" i="4" s="1"/>
  <c r="C27" i="4"/>
  <c r="D27" i="4" s="1"/>
  <c r="L27" i="4"/>
  <c r="F26" i="4"/>
  <c r="K26" i="4" s="1"/>
  <c r="C26" i="4"/>
  <c r="D26" i="4" s="1"/>
  <c r="L26" i="4"/>
  <c r="E30" i="8"/>
  <c r="D30" i="8"/>
  <c r="E29" i="8"/>
  <c r="D29" i="8"/>
  <c r="E28" i="8"/>
  <c r="D28" i="8"/>
  <c r="E27" i="8"/>
  <c r="D27" i="8"/>
  <c r="E26" i="8"/>
  <c r="D26" i="8"/>
  <c r="E25" i="8"/>
  <c r="D25" i="8"/>
  <c r="E24" i="8"/>
  <c r="D24" i="8"/>
  <c r="L25" i="4"/>
  <c r="F25" i="4"/>
  <c r="K25" i="4" s="1"/>
  <c r="C25" i="4"/>
  <c r="D25" i="4" s="1"/>
  <c r="L24" i="4"/>
  <c r="F24" i="4"/>
  <c r="K24" i="4" s="1"/>
  <c r="C24" i="4"/>
  <c r="D24" i="4" s="1"/>
  <c r="L23" i="4"/>
  <c r="F23" i="4"/>
  <c r="K23" i="4" s="1"/>
  <c r="C23" i="4"/>
  <c r="D23" i="4" s="1"/>
  <c r="E23" i="8"/>
  <c r="D23" i="8"/>
  <c r="L22" i="4" l="1"/>
  <c r="F22" i="4"/>
  <c r="K22" i="4" s="1"/>
  <c r="C22" i="4"/>
  <c r="D22" i="4" s="1"/>
  <c r="J9" i="6" l="1"/>
  <c r="O9" i="6"/>
  <c r="J4" i="6"/>
  <c r="J6" i="6"/>
  <c r="J7" i="6"/>
  <c r="J8" i="6"/>
  <c r="D20" i="8"/>
  <c r="E20" i="8"/>
  <c r="E22" i="8"/>
  <c r="D22" i="8"/>
  <c r="E21" i="8"/>
  <c r="D21" i="8"/>
  <c r="L21" i="4"/>
  <c r="F21" i="4"/>
  <c r="K21" i="4" s="1"/>
  <c r="C21" i="4"/>
  <c r="D21" i="4" s="1"/>
  <c r="L20" i="4"/>
  <c r="F20" i="4"/>
  <c r="K20" i="4" s="1"/>
  <c r="C20" i="4"/>
  <c r="D20" i="4" s="1"/>
  <c r="E19" i="8"/>
  <c r="D19" i="8"/>
  <c r="J5" i="6"/>
  <c r="O4" i="6"/>
  <c r="O5" i="6"/>
  <c r="O6" i="6"/>
  <c r="O7" i="6"/>
  <c r="O8" i="6"/>
  <c r="E18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3" i="8"/>
  <c r="F3" i="4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3" i="8"/>
  <c r="C3" i="4"/>
  <c r="D3" i="4" s="1"/>
  <c r="C4" i="4"/>
  <c r="D4" i="4" s="1"/>
  <c r="C5" i="4"/>
  <c r="D5" i="4" s="1"/>
  <c r="C6" i="4"/>
  <c r="D6" i="4" s="1"/>
  <c r="C7" i="4"/>
  <c r="D7" i="4" s="1"/>
  <c r="C8" i="4"/>
  <c r="D8" i="4" s="1"/>
  <c r="C9" i="4"/>
  <c r="D9" i="4" s="1"/>
  <c r="C10" i="4"/>
  <c r="D10" i="4" s="1"/>
  <c r="C11" i="4"/>
  <c r="D11" i="4" s="1"/>
  <c r="C12" i="4"/>
  <c r="D12" i="4" s="1"/>
  <c r="C13" i="4"/>
  <c r="D13" i="4" s="1"/>
  <c r="C14" i="4"/>
  <c r="D14" i="4" s="1"/>
  <c r="C15" i="4"/>
  <c r="D15" i="4" s="1"/>
  <c r="C16" i="4"/>
  <c r="D16" i="4" s="1"/>
  <c r="C17" i="4"/>
  <c r="D17" i="4" s="1"/>
  <c r="C18" i="4"/>
  <c r="D18" i="4" s="1"/>
  <c r="C19" i="4"/>
  <c r="D19" i="4" s="1"/>
  <c r="F18" i="4"/>
  <c r="K18" i="4" s="1"/>
  <c r="F19" i="4"/>
  <c r="K19" i="4" s="1"/>
  <c r="L18" i="4"/>
  <c r="L19" i="4"/>
  <c r="L17" i="4"/>
  <c r="F17" i="4"/>
  <c r="K17" i="4" s="1"/>
  <c r="L16" i="4"/>
  <c r="F16" i="4"/>
  <c r="K16" i="4" s="1"/>
  <c r="F4" i="4"/>
  <c r="F5" i="4"/>
  <c r="K5" i="4" s="1"/>
  <c r="F6" i="4"/>
  <c r="K6" i="4" s="1"/>
  <c r="F7" i="4"/>
  <c r="K7" i="4" s="1"/>
  <c r="F8" i="4"/>
  <c r="K8" i="4" s="1"/>
  <c r="F9" i="4"/>
  <c r="K9" i="4" s="1"/>
  <c r="F10" i="4"/>
  <c r="K10" i="4" s="1"/>
  <c r="F11" i="4"/>
  <c r="K11" i="4" s="1"/>
  <c r="F12" i="4"/>
  <c r="K12" i="4" s="1"/>
  <c r="F13" i="4"/>
  <c r="K13" i="4" s="1"/>
  <c r="F14" i="4"/>
  <c r="K14" i="4" s="1"/>
  <c r="F15" i="4"/>
  <c r="K15" i="4" s="1"/>
  <c r="L3" i="4"/>
  <c r="L4" i="4"/>
  <c r="L5" i="4"/>
  <c r="L6" i="4"/>
  <c r="L7" i="4"/>
  <c r="L8" i="4"/>
  <c r="L9" i="4"/>
  <c r="L10" i="4"/>
  <c r="L11" i="4"/>
  <c r="L12" i="4"/>
  <c r="L13" i="4"/>
  <c r="L14" i="4"/>
  <c r="L15" i="4"/>
  <c r="F7" i="3" l="1"/>
  <c r="F8" i="3"/>
  <c r="H13" i="2" l="1"/>
  <c r="C10" i="2"/>
  <c r="G4" i="4" l="1"/>
  <c r="K4" i="4" s="1"/>
  <c r="G3" i="4"/>
  <c r="K3" i="4" s="1"/>
  <c r="F5" i="3" l="1"/>
  <c r="F6" i="3"/>
  <c r="K34" i="2" l="1"/>
  <c r="C31" i="2"/>
  <c r="E31" i="2"/>
  <c r="I31" i="2"/>
  <c r="J31" i="2"/>
  <c r="K31" i="2"/>
  <c r="C32" i="2"/>
  <c r="E32" i="2"/>
  <c r="C33" i="2"/>
  <c r="E33" i="2"/>
  <c r="C34" i="2"/>
  <c r="E34" i="2"/>
  <c r="I34" i="2"/>
  <c r="J34" i="2" l="1"/>
  <c r="E35" i="2"/>
  <c r="C35" i="2"/>
  <c r="J33" i="2" l="1"/>
  <c r="I33" i="2"/>
  <c r="K33" i="2"/>
  <c r="I13" i="2" l="1"/>
  <c r="K13" i="2"/>
  <c r="C3" i="5"/>
  <c r="J3" i="5"/>
  <c r="I32" i="2" l="1"/>
  <c r="I35" i="2" s="1"/>
  <c r="K32" i="2"/>
  <c r="K35" i="2" s="1"/>
  <c r="J32" i="2"/>
  <c r="J35" i="2" s="1"/>
  <c r="K21" i="2"/>
  <c r="K20" i="2"/>
  <c r="K19" i="2"/>
  <c r="I21" i="2"/>
  <c r="I20" i="2"/>
  <c r="I19" i="2"/>
  <c r="G21" i="2"/>
  <c r="G20" i="2"/>
  <c r="G19" i="2"/>
  <c r="M21" i="2"/>
  <c r="M20" i="2"/>
  <c r="M19" i="2"/>
  <c r="E21" i="2"/>
  <c r="E20" i="2"/>
  <c r="E19" i="2"/>
  <c r="C21" i="2"/>
  <c r="C20" i="2"/>
  <c r="C19" i="2"/>
  <c r="J13" i="2"/>
  <c r="G13" i="2"/>
  <c r="F13" i="2"/>
  <c r="E13" i="2"/>
  <c r="C14" i="2"/>
  <c r="C13" i="2"/>
  <c r="C12" i="2"/>
  <c r="G2" i="3"/>
  <c r="G89" i="7"/>
  <c r="E2" i="3"/>
  <c r="G2" i="2"/>
  <c r="D2" i="2"/>
  <c r="D31" i="2" l="1"/>
  <c r="D32" i="2"/>
  <c r="F34" i="2"/>
  <c r="F33" i="2"/>
  <c r="D33" i="2"/>
  <c r="F31" i="2"/>
  <c r="D34" i="2"/>
  <c r="F32" i="2"/>
  <c r="C11" i="2"/>
  <c r="D6" i="2" s="1"/>
  <c r="D19" i="2"/>
  <c r="K14" i="2"/>
  <c r="G68" i="7"/>
  <c r="C22" i="2"/>
  <c r="F21" i="2"/>
  <c r="J20" i="2"/>
  <c r="L21" i="2"/>
  <c r="F20" i="2"/>
  <c r="N21" i="2"/>
  <c r="L20" i="2"/>
  <c r="F19" i="2"/>
  <c r="N20" i="2"/>
  <c r="H21" i="2"/>
  <c r="L19" i="2"/>
  <c r="N19" i="2"/>
  <c r="H20" i="2"/>
  <c r="J21" i="2"/>
  <c r="I22" i="2"/>
  <c r="G22" i="2"/>
  <c r="M22" i="2"/>
  <c r="K22" i="2"/>
  <c r="J19" i="2"/>
  <c r="H19" i="2"/>
  <c r="E22" i="2"/>
  <c r="D20" i="2"/>
  <c r="D21" i="2"/>
  <c r="F14" i="2"/>
  <c r="J14" i="2"/>
  <c r="E14" i="2"/>
  <c r="I14" i="2"/>
  <c r="H14" i="2"/>
  <c r="G14" i="2"/>
  <c r="F35" i="2" l="1"/>
  <c r="D35" i="2"/>
  <c r="D4" i="2"/>
  <c r="L22" i="2"/>
  <c r="G4" i="2"/>
  <c r="J22" i="2"/>
  <c r="F22" i="2"/>
  <c r="N22" i="2"/>
  <c r="H22" i="2"/>
  <c r="D22" i="2"/>
</calcChain>
</file>

<file path=xl/sharedStrings.xml><?xml version="1.0" encoding="utf-8"?>
<sst xmlns="http://schemas.openxmlformats.org/spreadsheetml/2006/main" count="614" uniqueCount="326">
  <si>
    <t>DATOS GENERALES</t>
  </si>
  <si>
    <t>Descripción</t>
  </si>
  <si>
    <t>Proveedor Desarrollo</t>
  </si>
  <si>
    <t>Fecha Inicio</t>
  </si>
  <si>
    <t>Fecha Fin</t>
  </si>
  <si>
    <t>Código:</t>
  </si>
  <si>
    <t>Título:</t>
  </si>
  <si>
    <t>Avance Real:</t>
  </si>
  <si>
    <t>Resultado:</t>
  </si>
  <si>
    <t>Ejecutado:</t>
  </si>
  <si>
    <t>1. Casos de Prueba</t>
  </si>
  <si>
    <t>CP Totales</t>
  </si>
  <si>
    <t>CP Ejecutados</t>
  </si>
  <si>
    <t>CP Bloqueado</t>
  </si>
  <si>
    <t>CP Pendiente</t>
  </si>
  <si>
    <t>Acierto</t>
  </si>
  <si>
    <t>Fallo</t>
  </si>
  <si>
    <t>Bloqueado</t>
  </si>
  <si>
    <t>Pendiente</t>
  </si>
  <si>
    <t>No Aplica</t>
  </si>
  <si>
    <t>En Proceso</t>
  </si>
  <si>
    <t>Casos de Prueba</t>
  </si>
  <si>
    <t>Nº</t>
  </si>
  <si>
    <t>%</t>
  </si>
  <si>
    <t>Alta</t>
  </si>
  <si>
    <t>Media</t>
  </si>
  <si>
    <t>Baja</t>
  </si>
  <si>
    <t>TOTAL</t>
  </si>
  <si>
    <t>Severidad (SI)</t>
  </si>
  <si>
    <t>Severidad 1</t>
  </si>
  <si>
    <t>Bloqueante para el sistema</t>
  </si>
  <si>
    <t>Severidad 2</t>
  </si>
  <si>
    <t>Bloqueante para el negocio, flujo crítico interrumpido</t>
  </si>
  <si>
    <t>Severidad 3</t>
  </si>
  <si>
    <t>No bloqueante, flujo alterno interrumpido</t>
  </si>
  <si>
    <t>Severidad 4</t>
  </si>
  <si>
    <t>De carácter estético</t>
  </si>
  <si>
    <t>Prioridad (P)</t>
  </si>
  <si>
    <t>Abrev.</t>
  </si>
  <si>
    <t>A</t>
  </si>
  <si>
    <t>M</t>
  </si>
  <si>
    <t>B</t>
  </si>
  <si>
    <t>Estado (EI)</t>
  </si>
  <si>
    <t>Abierta</t>
  </si>
  <si>
    <t>Corregida</t>
  </si>
  <si>
    <t>Cerrada</t>
  </si>
  <si>
    <t>Incidencia respondida por el AM cuya verificación está en proceso</t>
  </si>
  <si>
    <t xml:space="preserve">Incidencia reportada al AM </t>
  </si>
  <si>
    <t>Incidencia verificada y levantada</t>
  </si>
  <si>
    <t>Estado Testing (ET)</t>
  </si>
  <si>
    <t>Descripión</t>
  </si>
  <si>
    <t>El resultado real es igual a resultado esperado</t>
  </si>
  <si>
    <t>No se cumple el caso esperado</t>
  </si>
  <si>
    <t>No se puede probar el CP, por dependecias de otro CP en Fallo o falta de prerequisitos o desarrollo</t>
  </si>
  <si>
    <t>El CP esta fuera de alcance de las pruebas de esta iteración</t>
  </si>
  <si>
    <t>Resultado</t>
  </si>
  <si>
    <t>SATISFACTORIO</t>
  </si>
  <si>
    <t>Las pruebas pasaron sin problemas</t>
  </si>
  <si>
    <t>SATISFACTORIO con Observaciones</t>
  </si>
  <si>
    <t>Durante las pruebas se realizaron observaciones menores.</t>
  </si>
  <si>
    <t>INSATISFACTORIO</t>
  </si>
  <si>
    <t>Se encontraron Incidencias de Severidad 1 o Severidad 2.</t>
  </si>
  <si>
    <t>CP cuya ejecución está en pendiente</t>
  </si>
  <si>
    <t>El CP cuya ejecución aún no se ha terminado.</t>
  </si>
  <si>
    <t>2. Incidencias</t>
  </si>
  <si>
    <t>Severidad (S)</t>
  </si>
  <si>
    <t>Incidencias Abiertas</t>
  </si>
  <si>
    <t>Incidencias Cerradas</t>
  </si>
  <si>
    <t>TOTALES</t>
  </si>
  <si>
    <t>Funcionalidad</t>
  </si>
  <si>
    <t>Descripción Caso de Prueba</t>
  </si>
  <si>
    <t>Resultado Esperado</t>
  </si>
  <si>
    <t>Resultado Real</t>
  </si>
  <si>
    <t>Estado Testing</t>
  </si>
  <si>
    <t>Prioridad</t>
  </si>
  <si>
    <t>Severidad</t>
  </si>
  <si>
    <t>Estado Incidencia</t>
  </si>
  <si>
    <t>Reejecución</t>
  </si>
  <si>
    <t>Fecha Planificada</t>
  </si>
  <si>
    <t>Fecha Real</t>
  </si>
  <si>
    <t>Duración Caso de Prueba (horas / hombre)</t>
  </si>
  <si>
    <t>Pre-requisitos para la ejecución de la prueba</t>
  </si>
  <si>
    <t>Observaciones Pruebas Testing</t>
  </si>
  <si>
    <t>Revisión</t>
  </si>
  <si>
    <t>CP001</t>
  </si>
  <si>
    <t>Cod. Obs.</t>
  </si>
  <si>
    <t>Caso de Prueba</t>
  </si>
  <si>
    <t>Estado</t>
  </si>
  <si>
    <t>Fecha Detección</t>
  </si>
  <si>
    <t>Solución</t>
  </si>
  <si>
    <t>Tiempo de Solución</t>
  </si>
  <si>
    <t>MATRIZ DE OBSERVACIONES</t>
  </si>
  <si>
    <t>OBS001</t>
  </si>
  <si>
    <t>Cod. Cons.</t>
  </si>
  <si>
    <t>Fecha Solicitud</t>
  </si>
  <si>
    <t>Fecha Respuesta</t>
  </si>
  <si>
    <t>Descripción de la Consulta</t>
  </si>
  <si>
    <t>Respuesta del Responsable</t>
  </si>
  <si>
    <t>MATRIZ DE CONSULTAS</t>
  </si>
  <si>
    <t>Tiempo de Solución (Dias)</t>
  </si>
  <si>
    <t>Aciertos</t>
  </si>
  <si>
    <t>Fallos</t>
  </si>
  <si>
    <t>Reejecuciones</t>
  </si>
  <si>
    <t>Abiertas</t>
  </si>
  <si>
    <t>Cerradas</t>
  </si>
  <si>
    <t>Totales</t>
  </si>
  <si>
    <t>HISTÓRICO DE EJECUCIÓN</t>
  </si>
  <si>
    <t>HISTÓRICO DE INCIDENCIAS</t>
  </si>
  <si>
    <t>Fecha</t>
  </si>
  <si>
    <t>CP con Fallo</t>
  </si>
  <si>
    <t>1. RESÚMEN DE ESTADOS DE CASOS DE PRUEBA</t>
  </si>
  <si>
    <t>2. HISTÓRICO DE EJECUCIONES DE CASOS DE PRUEBA</t>
  </si>
  <si>
    <t>3. HISTÓRICO DE INCIDENCIAS</t>
  </si>
  <si>
    <t>4. RESÚMEN DE OBSERVACIONES</t>
  </si>
  <si>
    <t>TIEMPO MEDIO DE RESOLUCIÓN Y CIERRE DE INCIDENCIAS</t>
  </si>
  <si>
    <t>DIAS</t>
  </si>
  <si>
    <t>Rótulos de fila</t>
  </si>
  <si>
    <t>Total general</t>
  </si>
  <si>
    <t>Cuenta de Severidad</t>
  </si>
  <si>
    <t>Cuenta de Prioridad</t>
  </si>
  <si>
    <t>Cuenta de Estado</t>
  </si>
  <si>
    <t>CON001</t>
  </si>
  <si>
    <t>5. RESÚMEN DE CONSULTAS</t>
  </si>
  <si>
    <t>TIEMPO MEDIO DE RESOLUCIÓN Y CIERRE DE CONSULTAS</t>
  </si>
  <si>
    <t>Responsable</t>
  </si>
  <si>
    <t>Cuenta de Responsable</t>
  </si>
  <si>
    <t>Re Ejecuciones</t>
  </si>
  <si>
    <t>AM</t>
  </si>
  <si>
    <t>No AM</t>
  </si>
  <si>
    <t>Código de REQ</t>
  </si>
  <si>
    <t>Pruebas Funcionales</t>
  </si>
  <si>
    <t>Pruebas de Performance</t>
  </si>
  <si>
    <t>Pruebas de Seguridad</t>
  </si>
  <si>
    <t>Inspección</t>
  </si>
  <si>
    <t>Solicitud Código Proyecto</t>
  </si>
  <si>
    <t>Nombre de la Solicitud</t>
  </si>
  <si>
    <t>Gerente Proyectos Cliente</t>
  </si>
  <si>
    <t>Cod. Req.</t>
  </si>
  <si>
    <t>(en blanco)</t>
  </si>
  <si>
    <t>#N/A</t>
  </si>
  <si>
    <t>IT Expert</t>
  </si>
  <si>
    <t>Cliente</t>
  </si>
  <si>
    <t>Empresa QA</t>
  </si>
  <si>
    <t>Responsable Cliente</t>
  </si>
  <si>
    <t>Responsable QA</t>
  </si>
  <si>
    <t>CP002</t>
  </si>
  <si>
    <t>CP003</t>
  </si>
  <si>
    <t>INSPECCIÓN</t>
  </si>
  <si>
    <t>VALIDACIÓN OK</t>
  </si>
  <si>
    <t>OBS002</t>
  </si>
  <si>
    <t>CORRIGIO OK</t>
  </si>
  <si>
    <t>Desestimada</t>
  </si>
  <si>
    <t>Código Iteración</t>
  </si>
  <si>
    <t>Tipo de Error</t>
  </si>
  <si>
    <t>Eduardo Arratia</t>
  </si>
  <si>
    <t>SSIA</t>
  </si>
  <si>
    <t>1 - SEOV</t>
  </si>
  <si>
    <t>Sistema Experto de Orientación Profesional</t>
  </si>
  <si>
    <t>Revisión de User Story</t>
  </si>
  <si>
    <t>OBS003</t>
  </si>
  <si>
    <t>Diferente descripción de la Historia de Usuario a como se especifica en la plantilla</t>
  </si>
  <si>
    <t>OBS004</t>
  </si>
  <si>
    <t>Se ha colocado dos veces la Historia de Usuario 3 en el documento, al inicio de este y al final</t>
  </si>
  <si>
    <t>Falta indicar con precisión cual es el usuario responsable de la Historia de Usuario 4</t>
  </si>
  <si>
    <t>Se corrigió la descripción tal cual en la plantilla</t>
  </si>
  <si>
    <t>Se asignó distinto número a las historias de usuario ahora son 4,1 y 2</t>
  </si>
  <si>
    <t>Eduardo Arratia, Roberto Taype</t>
  </si>
  <si>
    <t>INSPECCIONES</t>
  </si>
  <si>
    <t>César Armando Gonzales</t>
  </si>
  <si>
    <t>El texto en el documento es exactamente el mismo que el de la plantilla</t>
  </si>
  <si>
    <t>OBS005</t>
  </si>
  <si>
    <t>Roberto Taype</t>
  </si>
  <si>
    <t xml:space="preserve">[OBS001]El texto en el documento es exactamente el mismo que el de la plantilla_x000D_
[OBS002]Falta indicar con precisión cual es el usuario responsable de la Historia de Usuario 4_x000D_
[OBS003]Diferente descripción de la Historia de Usuario a como se especifica en la plantilla_x000D_
</t>
  </si>
  <si>
    <t>Actualizar número de versión del documento en el título.</t>
  </si>
  <si>
    <t>Inspección de Iteración 1</t>
  </si>
  <si>
    <t>Inspección de Iteración 2</t>
  </si>
  <si>
    <t>Inspección de Iteración 3</t>
  </si>
  <si>
    <t>FOR001</t>
  </si>
  <si>
    <t>FOR002</t>
  </si>
  <si>
    <t>FOR003</t>
  </si>
  <si>
    <t>FOR004</t>
  </si>
  <si>
    <t>FOR005</t>
  </si>
  <si>
    <t>FOR006</t>
  </si>
  <si>
    <t>FOR007</t>
  </si>
  <si>
    <t>FOR008</t>
  </si>
  <si>
    <t>En Historial de Revisiones, hay un punto de más en el Autor.</t>
  </si>
  <si>
    <t>En Historial de Revisiones, el género es másculino para User Stories.</t>
  </si>
  <si>
    <t>Cambiar en el texto "Prioridad de Negocio" por "Prioridad en Negocio".</t>
  </si>
  <si>
    <t>Falta colocar en la descripción del Alcance: "Puntos estimados” y “Version asignada".</t>
  </si>
  <si>
    <t>En la descipción de las historias de usuario, pese a que no hay puntos en el texto, se están utilizando inadecuadamente las letras mayúsculas.</t>
  </si>
  <si>
    <t>En la sección de Historias de usuario, corregir la primera oración ("por cada uno de los").</t>
  </si>
  <si>
    <t>En varias partes del documento, reemplazar "de que" por "que", ya que es un dequeísmo.</t>
  </si>
  <si>
    <t>Corregir la oración en el US4, sección Espero ("Ver que cada una de las reglas…").</t>
  </si>
  <si>
    <t>En general, el documento presenta incoherencia de estilo, ya que se combinan cursivas y estilo normal.</t>
  </si>
  <si>
    <t>FOR009</t>
  </si>
  <si>
    <t>Gramática</t>
  </si>
  <si>
    <t>Formato</t>
  </si>
  <si>
    <t xml:space="preserve">Ortografía </t>
  </si>
  <si>
    <t>Puntuación</t>
  </si>
  <si>
    <t>Estilo</t>
  </si>
  <si>
    <t>Inspecciones a Documentos</t>
  </si>
  <si>
    <t>Pruebas Sistema</t>
  </si>
  <si>
    <t>Por fijar</t>
  </si>
  <si>
    <t>FOR010</t>
  </si>
  <si>
    <t>FOR011</t>
  </si>
  <si>
    <t>FOR012</t>
  </si>
  <si>
    <t>FOR013</t>
  </si>
  <si>
    <t>En el primer párrafo de 1.1. Antecedentes, hay varios errores de ortografía, puntuación y redundancia.</t>
  </si>
  <si>
    <t>Ortografía</t>
  </si>
  <si>
    <t>CP004</t>
  </si>
  <si>
    <t>OBS006</t>
  </si>
  <si>
    <t>OBS007</t>
  </si>
  <si>
    <t>OBS008</t>
  </si>
  <si>
    <t>OBS009</t>
  </si>
  <si>
    <t>OBS010</t>
  </si>
  <si>
    <t>OBS011</t>
  </si>
  <si>
    <t>OBS012</t>
  </si>
  <si>
    <t>OBS013</t>
  </si>
  <si>
    <t>Inspección de Iteración 4</t>
  </si>
  <si>
    <t>Primera revisión del documento de Investigación Sprint 0</t>
  </si>
  <si>
    <t>Henry Valdivia, Cesar Chahuas</t>
  </si>
  <si>
    <t>Se realizarán las inspecciones al proyecto SEOV durante el ciclo 2012-2. El proyecto busca proponer la implementación de un sistema experto de orientación vocacional en móviles con sistema Android el cual permita a diversos postulantes interesados en ingresar a la Escuela de Ingeniería de Sistemas y Computación de la UPC identificar si poseen el perfil acorde con la carrera de su interés.</t>
  </si>
  <si>
    <t>El punto 2.4.4. Roles de Commonkads, no está correctamente jerarquizado ni se muestra en el índice del documento.</t>
  </si>
  <si>
    <t>Fecha Levant.</t>
  </si>
  <si>
    <t>En 1.1.. Antecedentes, hay un texto ambiguo.Se pueden dar estas interpretaciones:
1. Año innecesario ya que esta fecha representa la publicación de “La orientación educativa y profesional” (1967).
2. “En 1967, estos países ya contaban con centros de investigación…”</t>
  </si>
  <si>
    <t>En 1.2. Problema, Uso incorrecto del singular y plural: “El problema que motiva el desarrollo del sistema experto del actual proyecto es la cantidad constante de dudas a las que los…”</t>
  </si>
  <si>
    <t>En 1.2. Problema , el primer párrafo tiene una oración incompleta ya que no tiene un verbo que conecte las ideas con respecto a lista de características que se mencionan en esta frase larga.</t>
  </si>
  <si>
    <t>Las frases que no son oraciones no llevan punto final.</t>
  </si>
  <si>
    <t>En el punto 2.1.3 Herramientas usadas en la OV, "El resultado final brinda un resultado ". Esto es redundante.</t>
  </si>
  <si>
    <t>En el punto 2.2.3.5 Publicación del conocimiento, presenta carencia de la información.</t>
  </si>
  <si>
    <t>La imagen del punto 2.2.4. Arquitectura, no tiene fuente bibliográfica.</t>
  </si>
  <si>
    <t>En varias oraciones del documento, hay espacios adicionales que están de más, además de comas que faltan.</t>
  </si>
  <si>
    <t>En el punto 1.5. Alcance, no hay numeración correlativa las siguientes dos secciones del mismo (1.5.1. - 1.5.2.)</t>
  </si>
  <si>
    <t>En el punto 2.1.2 Perfil Vocacional, se menciona al autor de un libro, Lopez, pero no se le hace una breve introducción.</t>
  </si>
  <si>
    <t>Se incluyó el verbo y se reestructuró el párrafo</t>
  </si>
  <si>
    <t>Se esclarecio el texto con la reestruturación de la oración</t>
  </si>
  <si>
    <t>Se incluyó la numeración respectiva</t>
  </si>
  <si>
    <t>Se hace una introducción en cuanto al autor explicando su obra a la cual se hace referencia</t>
  </si>
  <si>
    <t>Se reestructuró la oración</t>
  </si>
  <si>
    <t>Se completó la idea</t>
  </si>
  <si>
    <t>Se incluyó el punto en el índice</t>
  </si>
  <si>
    <t>Se puso una nueva imagen y con referencia bibliográfica</t>
  </si>
  <si>
    <t>Se actualizó la versión del documento de user stories Sprint 1</t>
  </si>
  <si>
    <t xml:space="preserve">[OBS004]Se ha colocado dos veces la Historia de Usuario 3 en el documento, al inicio de este y al final_x000D_
</t>
  </si>
  <si>
    <t xml:space="preserve">[OBS005]Actualizar número de versión del documento en el título._x000D_
</t>
  </si>
  <si>
    <t xml:space="preserve">[OBS006]En 1.1.. Antecedentes, hay un texto ambiguo.Se pueden dar estas interpretaciones:
1. Año innecesario ya que esta fecha representa la publicación de “La orientación educativa y profesional” (1967).
2. “En 1967, estos países ya contaban con centros de investigación…”_x000D_
[OBS007]En 1.2. Problema , el primer párrafo tiene una oración incompleta ya que no tiene un verbo que conecte las ideas con respecto a lista de características que se mencionan en esta frase larga._x000D_
[OBS008]En el punto 1.5. Alcance, no hay numeración correlativa las siguientes dos secciones del mismo (1.5.1. - 1.5.2.)_x000D_
[OBS009]En el punto 2.1.2 Perfil Vocacional, se menciona al autor de un libro, Lopez, pero no se le hace una breve introducción._x000D_
[OBS010]En el punto 2.1.3 Herramientas usadas en la OV, "El resultado final brinda un resultado ". Esto es redundante._x000D_
[OBS011]En el punto 2.2.3.5 Publicación del conocimiento, presenta carencia de la información._x000D_
[OBS012]La imagen del punto 2.2.4. Arquitectura, no tiene fuente bibliográfica._x000D_
[OBS013]El punto 2.4.4. Roles de Commonkads, no está correctamente jerarquizado ni se muestra en el índice del documento._x000D_
</t>
  </si>
  <si>
    <t>OBS014</t>
  </si>
  <si>
    <t>CP005</t>
  </si>
  <si>
    <t>OBS015</t>
  </si>
  <si>
    <t>La descripción del US29 debería ser máximo de 3 líneas</t>
  </si>
  <si>
    <t>Inspección de Iteración 5</t>
  </si>
  <si>
    <t>Revisión de las Historias de Usuario del Sprint 0</t>
  </si>
  <si>
    <t>CP006</t>
  </si>
  <si>
    <t>FOR014</t>
  </si>
  <si>
    <t>FOR015</t>
  </si>
  <si>
    <t>FOR016</t>
  </si>
  <si>
    <t>Primera Revisión de las Historias de Usuario del Sprint 1</t>
  </si>
  <si>
    <t>Segunda Revisión de las Historias de Usuario del Sprint 1</t>
  </si>
  <si>
    <t>Tercera Revisión de las Historias de Usuario del Sprint 1</t>
  </si>
  <si>
    <t>Revisión de las Historias de Usuario del Sprint 3</t>
  </si>
  <si>
    <t>OBS016</t>
  </si>
  <si>
    <t>OBS017</t>
  </si>
  <si>
    <t>Inspección de Iteración 6</t>
  </si>
  <si>
    <t>En las Historias de Usuarios del Sprint 0, falta mencionar los criterios de aceptación en el alcance.</t>
  </si>
  <si>
    <t>En las Historias de Usuarios del Sprint 3, falta mencionar los criterios de aceptación en el alcance.</t>
  </si>
  <si>
    <t>FOR017</t>
  </si>
  <si>
    <t>OBS018</t>
  </si>
  <si>
    <t>OBS019</t>
  </si>
  <si>
    <t>En el US10, está pendiente el Mockup</t>
  </si>
  <si>
    <t>En el US13, está pendiente el Mockup</t>
  </si>
  <si>
    <t xml:space="preserve">[OBS014]En las Historias de Usuarios del Sprint 0, falta mencionar los criterios de aceptación en el alcance._x000D_
[OBS015]La descripción del US29 debería ser máximo de 3 líneas_x000D_
</t>
  </si>
  <si>
    <t xml:space="preserve">[OBS016]En las Historias de Usuarios del Sprint 3, falta mencionar los criterios de aceptación en el alcance._x000D_
[OBS017]En el US10, el porgramador responsable no tiene nombre._x000D_
[OBS018]En el US10, está pendiente el Mockup_x000D_
[OBS019]En el US13, está pendiente el Mockup_x000D_
</t>
  </si>
  <si>
    <t>En US10, "Riesgo en desarrollo", "Categorías" debe estar en singular.</t>
  </si>
  <si>
    <t>En US10, "Riesgo en desarrollo", "Alta" debe ser masculino.</t>
  </si>
  <si>
    <t>En US29, "Riesgo en desarrollo", "Categorías" debe estar en singular.</t>
  </si>
  <si>
    <t>En US29, "Riesgo en desarrollo", "Alta" debe ser masculino.</t>
  </si>
  <si>
    <t>En US13, "Riesgo en desarrollo", "Categorías" debe estar en singular.</t>
  </si>
  <si>
    <t>En US13, "Riesgo en desarrollo", "Alta" debe ser masculino.</t>
  </si>
  <si>
    <t>FOR018</t>
  </si>
  <si>
    <t>FOR019</t>
  </si>
  <si>
    <t>FOR020</t>
  </si>
  <si>
    <t>En US10, el término "logueo" no es muy formal para el documento.</t>
  </si>
  <si>
    <t>CP007</t>
  </si>
  <si>
    <t>OBS020</t>
  </si>
  <si>
    <t>En OM-1, faltan algunas comas y el género no es correcto en algunos casos</t>
  </si>
  <si>
    <t>En OM-1, Contexto Organizativo, se menciona información obvia sin mayor detalle. Sería bueno incluir una cifra aproximada de lo que se pronostica sobre el crecimiento del número de postulantes del siguiente año.</t>
  </si>
  <si>
    <t>OBS021</t>
  </si>
  <si>
    <t>En OM-2, dentro de la definción de la Estructura, falta completar oración.</t>
  </si>
  <si>
    <t>En OM-3, falta incluir información sobre la localización de la tarea en la estructura de la organización y determinar intensidad para cada tarea.</t>
  </si>
  <si>
    <t>OBS022</t>
  </si>
  <si>
    <t>OBS023</t>
  </si>
  <si>
    <t>En OM-5, es mejor ser más detallado y escribir "teléfono con sistema Android” y “su teléfono con celular Android”.</t>
  </si>
  <si>
    <t>En OM-5, faltan algunas comas y hay doble puntuación innecesariamente.</t>
  </si>
  <si>
    <t>En TM-1, falta darle un formato correcto a la tabla ya que no distingue la cabecera.</t>
  </si>
  <si>
    <t>En TM-1, hay varias faltas de tildación.</t>
  </si>
  <si>
    <t>En TM-1, Agentes, hay un espacio adicional antes del punto final.</t>
  </si>
  <si>
    <t>En TM-2, es importante dar un formato completo a la tabla para que sea más práctico su entendimiento y sea más vistoso. Lleva a algunas confusiones por no saber cuándo finaliza una sección y empieza otra.</t>
  </si>
  <si>
    <t>En TM-2, hay palabras mal escritas y otras les faltan letras o tildes.</t>
  </si>
  <si>
    <t>En TM-2, dentro de la tarea Conocimiento de nivel de actitud academica y cognitiva, Altamente especializado, no se entiende la explicación del cuello de botella.</t>
  </si>
  <si>
    <t>En TM-2, dentro de Conocimiento de las preferencias vocacionales, no está completa la descripción de las Limitaciones de calidad.</t>
  </si>
  <si>
    <t>OBS024</t>
  </si>
  <si>
    <t>En general, el documento del CommonKADS le falta el documento de “Recomendaciones y Acciones  de mejoras”. Además, no tiene ningún formato ni estilo predeterminado, por lo que falta mejorar.</t>
  </si>
  <si>
    <t>OBS025</t>
  </si>
  <si>
    <t>En OM-1, hay varias oraciones que tienen doble espacio.</t>
  </si>
  <si>
    <t>FOR021</t>
  </si>
  <si>
    <t>FOR022</t>
  </si>
  <si>
    <t>FOR023</t>
  </si>
  <si>
    <t>FOR024</t>
  </si>
  <si>
    <t>FOR025</t>
  </si>
  <si>
    <t>FOR026</t>
  </si>
  <si>
    <t>FOR027</t>
  </si>
  <si>
    <t>FOR028</t>
  </si>
  <si>
    <t xml:space="preserve">[OBS020]En OM-1, Contexto Organizativo, se menciona información obvia sin mayor detalle. Sería bueno incluir una cifra aproximada de lo que se pronostica sobre el crecimiento del número de postulantes del siguiente año._x000D_
[OBS021]En OM-2, dentro de la definción de la Estructura, falta completar oración._x000D_
[OBS022]En OM-3, falta incluir información sobre la localización de la tarea en la estructura de la organización y determinar intensidad para cada tarea._x000D_
[OBS023]En TM-2, es importante dar un formato completo a la tabla para que sea más práctico su entendimiento y sea más vistoso. Lleva a algunas confusiones por no saber cuándo finaliza una sección y empieza otra._x000D_
[OBS024]En TM-2, dentro de Conocimiento de las preferencias vocacionales, no está completa la descripción de las Limitaciones de calidad._x000D_
[OBS025]En TM-2, dentro de la tarea Conocimiento de nivel de actitud academica y cognitiva, Altamente especializado, no se entiende la explicación del cuello de botella._x000D_
[OBS025]En general, el documento del CommonKADS le falta el documento de “Recomendaciones y Acciones  de mejoras”. Además, no tiene ningún formato ni estilo predeterminado, por lo que falta mejorar._x000D_
</t>
  </si>
  <si>
    <t>OBS026</t>
  </si>
  <si>
    <t>Se completó la oración</t>
  </si>
  <si>
    <t xml:space="preserve">Se completó la información </t>
  </si>
  <si>
    <t>Se incluyó el documento de acciones y mejoras</t>
  </si>
  <si>
    <t>Se incluyó en el alcance los criterios de aceptación</t>
  </si>
  <si>
    <t>La descripción se redujo a 3 líneas</t>
  </si>
  <si>
    <t>Se colocó el nombre del programador responsable</t>
  </si>
  <si>
    <t>Se elaboró el mockup respectivo</t>
  </si>
  <si>
    <t>Error de escritura, se eliminó el texto puesto que no hay limitaciones de calidad</t>
  </si>
  <si>
    <t>Se mejoró la explicación</t>
  </si>
  <si>
    <t>Se quito la información redundante</t>
  </si>
  <si>
    <t>En el US10, el programador responsable no tiene nombre.</t>
  </si>
  <si>
    <t>Se colocó letras más grandes y en negrita a los encabezados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</si>
</sst>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5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FFFFFF"/>
      <name val="Arial"/>
      <family val="2"/>
    </font>
    <font>
      <b/>
      <sz val="12"/>
      <color rgb="FFFFFFFF"/>
      <name val="Arial"/>
      <family val="2"/>
    </font>
    <font>
      <sz val="10"/>
      <name val="Arial"/>
      <family val="2"/>
    </font>
    <font>
      <b/>
      <sz val="9"/>
      <name val="Andale Mono"/>
    </font>
    <font>
      <b/>
      <sz val="10"/>
      <name val="Arial"/>
      <family val="2"/>
    </font>
    <font>
      <i/>
      <sz val="9"/>
      <name val="Andale Mono"/>
    </font>
    <font>
      <sz val="9"/>
      <name val="Andale Mono"/>
    </font>
    <font>
      <sz val="10"/>
      <color theme="1"/>
      <name val="Tahoma"/>
      <family val="2"/>
    </font>
    <font>
      <b/>
      <sz val="11"/>
      <color rgb="FFFFFFFF"/>
      <name val="Arial"/>
      <family val="2"/>
    </font>
    <font>
      <b/>
      <sz val="11"/>
      <color indexed="61"/>
      <name val="Calibri"/>
      <family val="2"/>
    </font>
    <font>
      <b/>
      <sz val="14"/>
      <color indexed="8"/>
      <name val="Calibri"/>
      <family val="2"/>
    </font>
    <font>
      <b/>
      <sz val="18"/>
      <color indexed="8"/>
      <name val="Calibri"/>
      <family val="2"/>
    </font>
    <font>
      <b/>
      <sz val="9"/>
      <color indexed="9"/>
      <name val="Arial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8"/>
      <color indexed="9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indexed="9"/>
      <name val="Calibri"/>
      <family val="2"/>
    </font>
    <font>
      <b/>
      <sz val="11"/>
      <color indexed="10"/>
      <name val="Calibri"/>
      <family val="2"/>
    </font>
    <font>
      <sz val="11"/>
      <color theme="0"/>
      <name val="Calibri"/>
      <family val="2"/>
    </font>
    <font>
      <b/>
      <sz val="11"/>
      <color indexed="51"/>
      <name val="Calibri"/>
      <family val="2"/>
    </font>
    <font>
      <b/>
      <sz val="11"/>
      <color indexed="58"/>
      <name val="Calibri"/>
      <family val="2"/>
    </font>
    <font>
      <b/>
      <sz val="11"/>
      <color theme="6"/>
      <name val="Calibri"/>
      <family val="2"/>
    </font>
    <font>
      <b/>
      <sz val="11"/>
      <color theme="4"/>
      <name val="Calibri"/>
      <family val="2"/>
    </font>
    <font>
      <b/>
      <sz val="11"/>
      <color indexed="28"/>
      <name val="Calibri"/>
      <family val="2"/>
    </font>
    <font>
      <sz val="10"/>
      <name val="TheSansCorrespondence"/>
      <family val="2"/>
    </font>
    <font>
      <b/>
      <sz val="10"/>
      <color theme="0"/>
      <name val="Arial"/>
      <family val="2"/>
    </font>
    <font>
      <b/>
      <sz val="24"/>
      <color theme="9"/>
      <name val="Calibri"/>
      <family val="2"/>
      <scheme val="minor"/>
    </font>
    <font>
      <b/>
      <sz val="10"/>
      <color indexed="9"/>
      <name val="Arial"/>
      <family val="2"/>
    </font>
    <font>
      <b/>
      <sz val="11"/>
      <color theme="0"/>
      <name val="Calibri"/>
      <family val="2"/>
      <scheme val="minor"/>
    </font>
    <font>
      <b/>
      <sz val="10"/>
      <color indexed="8"/>
      <name val="Arial"/>
      <family val="2"/>
    </font>
    <font>
      <b/>
      <sz val="16"/>
      <name val="Calibri"/>
      <family val="2"/>
      <scheme val="minor"/>
    </font>
    <font>
      <b/>
      <sz val="9"/>
      <color indexed="9"/>
      <name val="Calibri"/>
      <family val="2"/>
    </font>
    <font>
      <b/>
      <sz val="9"/>
      <color indexed="10"/>
      <name val="Calibri"/>
      <family val="2"/>
    </font>
    <font>
      <b/>
      <sz val="9"/>
      <color indexed="8"/>
      <name val="Calibri"/>
      <family val="2"/>
    </font>
    <font>
      <b/>
      <sz val="9"/>
      <color indexed="9"/>
      <name val="Arial Narrow"/>
      <family val="2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Tahoma"/>
      <family val="2"/>
    </font>
    <font>
      <b/>
      <sz val="18"/>
      <color theme="0"/>
      <name val="Calibri"/>
      <family val="2"/>
    </font>
    <font>
      <b/>
      <sz val="9"/>
      <color theme="0"/>
      <name val="Arial"/>
      <family val="2"/>
    </font>
    <font>
      <b/>
      <sz val="8"/>
      <color theme="0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11"/>
      <color theme="0"/>
      <name val="Calibri"/>
      <family val="2"/>
    </font>
    <font>
      <b/>
      <sz val="11"/>
      <color theme="3" tint="-0.499984740745262"/>
      <name val="Calibri"/>
      <family val="2"/>
    </font>
    <font>
      <sz val="11"/>
      <color theme="3" tint="-0.499984740745262"/>
      <name val="Calibri"/>
      <family val="2"/>
      <scheme val="minor"/>
    </font>
    <font>
      <b/>
      <sz val="14"/>
      <color theme="3" tint="-0.499984740745262"/>
      <name val="Calibri"/>
      <family val="2"/>
    </font>
    <font>
      <sz val="10"/>
      <color theme="1"/>
      <name val="Calibri"/>
      <family val="2"/>
      <scheme val="minor"/>
    </font>
    <font>
      <b/>
      <sz val="12"/>
      <color theme="3" tint="-0.499984740745262"/>
      <name val="Calibri"/>
      <family val="2"/>
    </font>
    <font>
      <sz val="9"/>
      <color theme="1"/>
      <name val="Calibri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indexed="20"/>
        <bgColor indexed="36"/>
      </patternFill>
    </fill>
    <fill>
      <patternFill patternType="solid">
        <fgColor indexed="50"/>
        <bgColor indexed="55"/>
      </patternFill>
    </fill>
    <fill>
      <patternFill patternType="solid">
        <fgColor rgb="FFC00000"/>
        <bgColor indexed="25"/>
      </patternFill>
    </fill>
    <fill>
      <patternFill patternType="solid">
        <fgColor indexed="51"/>
        <bgColor indexed="5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7"/>
        <bgColor indexed="41"/>
      </patternFill>
    </fill>
    <fill>
      <patternFill patternType="solid">
        <fgColor theme="9" tint="0.39997558519241921"/>
        <bgColor indexed="24"/>
      </patternFill>
    </fill>
    <fill>
      <patternFill patternType="solid">
        <fgColor theme="4" tint="0.79998168889431442"/>
        <bgColor indexed="4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25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36"/>
      </patternFill>
    </fill>
    <fill>
      <patternFill patternType="solid">
        <fgColor theme="3" tint="-0.499984740745262"/>
        <bgColor indexed="36"/>
      </patternFill>
    </fill>
    <fill>
      <patternFill patternType="solid">
        <fgColor theme="3" tint="-0.499984740745262"/>
        <bgColor indexed="27"/>
      </patternFill>
    </fill>
    <fill>
      <patternFill patternType="solid">
        <fgColor theme="3" tint="-0.499984740745262"/>
        <bgColor indexed="52"/>
      </patternFill>
    </fill>
    <fill>
      <patternFill patternType="solid">
        <fgColor theme="3" tint="0.59999389629810485"/>
        <bgColor indexed="41"/>
      </patternFill>
    </fill>
    <fill>
      <patternFill patternType="solid">
        <fgColor theme="3" tint="-0.499984740745262"/>
        <bgColor indexed="25"/>
      </patternFill>
    </fill>
    <fill>
      <patternFill patternType="solid">
        <fgColor theme="3" tint="0.79998168889431442"/>
        <bgColor indexed="27"/>
      </patternFill>
    </fill>
    <fill>
      <patternFill patternType="solid">
        <fgColor theme="3" tint="-0.499984740745262"/>
        <bgColor theme="9"/>
      </patternFill>
    </fill>
    <fill>
      <patternFill patternType="solid">
        <fgColor theme="3" tint="-0.499984740745262"/>
        <bgColor indexed="50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5">
    <border>
      <left/>
      <right/>
      <top/>
      <bottom/>
      <diagonal/>
    </border>
    <border>
      <left style="medium">
        <color rgb="FF808080"/>
      </left>
      <right/>
      <top style="medium">
        <color rgb="FF808080"/>
      </top>
      <bottom style="medium">
        <color rgb="FF80808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23"/>
      </left>
      <right/>
      <top style="medium">
        <color indexed="23"/>
      </top>
      <bottom style="medium">
        <color indexed="23"/>
      </bottom>
      <diagonal/>
    </border>
    <border>
      <left style="medium">
        <color indexed="54"/>
      </left>
      <right/>
      <top style="medium">
        <color indexed="54"/>
      </top>
      <bottom style="medium">
        <color indexed="54"/>
      </bottom>
      <diagonal/>
    </border>
    <border>
      <left/>
      <right style="medium">
        <color indexed="54"/>
      </right>
      <top style="medium">
        <color indexed="54"/>
      </top>
      <bottom style="medium">
        <color indexed="54"/>
      </bottom>
      <diagonal/>
    </border>
    <border>
      <left style="medium">
        <color indexed="54"/>
      </left>
      <right/>
      <top/>
      <bottom style="medium">
        <color indexed="54"/>
      </bottom>
      <diagonal/>
    </border>
    <border>
      <left/>
      <right style="medium">
        <color indexed="54"/>
      </right>
      <top/>
      <bottom style="medium">
        <color indexed="54"/>
      </bottom>
      <diagonal/>
    </border>
    <border>
      <left style="medium">
        <color indexed="54"/>
      </left>
      <right/>
      <top/>
      <bottom/>
      <diagonal/>
    </border>
    <border>
      <left/>
      <right style="medium">
        <color indexed="5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9"/>
      </right>
      <top/>
      <bottom style="thin">
        <color theme="5"/>
      </bottom>
      <diagonal/>
    </border>
    <border>
      <left style="thin">
        <color indexed="9"/>
      </left>
      <right style="thin">
        <color indexed="9"/>
      </right>
      <top/>
      <bottom style="thin">
        <color theme="5"/>
      </bottom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5" fillId="0" borderId="0"/>
    <xf numFmtId="0" fontId="17" fillId="8" borderId="0" applyNumberFormat="0" applyBorder="0" applyAlignment="0" applyProtection="0"/>
    <xf numFmtId="0" fontId="29" fillId="0" borderId="0" applyNumberFormat="0" applyFill="0" applyBorder="0" applyAlignment="0" applyProtection="0"/>
  </cellStyleXfs>
  <cellXfs count="227">
    <xf numFmtId="0" fontId="0" fillId="0" borderId="0" xfId="0"/>
    <xf numFmtId="0" fontId="5" fillId="0" borderId="3" xfId="2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14" fontId="9" fillId="0" borderId="3" xfId="2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center"/>
    </xf>
    <xf numFmtId="0" fontId="0" fillId="0" borderId="3" xfId="0" applyBorder="1" applyAlignment="1">
      <alignment vertical="center"/>
    </xf>
    <xf numFmtId="0" fontId="21" fillId="2" borderId="6" xfId="0" applyFont="1" applyFill="1" applyBorder="1" applyAlignment="1">
      <alignment horizontal="center" vertical="top"/>
    </xf>
    <xf numFmtId="0" fontId="21" fillId="2" borderId="7" xfId="0" applyFont="1" applyFill="1" applyBorder="1" applyAlignment="1">
      <alignment horizontal="center" vertical="top"/>
    </xf>
    <xf numFmtId="0" fontId="17" fillId="0" borderId="9" xfId="0" applyFont="1" applyBorder="1" applyAlignment="1">
      <alignment vertical="top" wrapText="1"/>
    </xf>
    <xf numFmtId="0" fontId="0" fillId="0" borderId="4" xfId="0" applyBorder="1" applyAlignment="1">
      <alignment vertical="center"/>
    </xf>
    <xf numFmtId="0" fontId="21" fillId="2" borderId="6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0" fontId="23" fillId="2" borderId="9" xfId="0" applyFont="1" applyFill="1" applyBorder="1" applyAlignment="1">
      <alignment vertical="center" wrapText="1"/>
    </xf>
    <xf numFmtId="0" fontId="17" fillId="0" borderId="11" xfId="0" applyFont="1" applyBorder="1" applyAlignment="1">
      <alignment vertical="center" wrapText="1"/>
    </xf>
    <xf numFmtId="0" fontId="17" fillId="0" borderId="7" xfId="0" applyFont="1" applyBorder="1" applyAlignment="1">
      <alignment vertical="center" wrapText="1"/>
    </xf>
    <xf numFmtId="9" fontId="17" fillId="0" borderId="3" xfId="1" applyFont="1" applyFill="1" applyBorder="1" applyAlignment="1" applyProtection="1">
      <alignment vertical="center"/>
    </xf>
    <xf numFmtId="0" fontId="17" fillId="0" borderId="9" xfId="0" applyFont="1" applyBorder="1" applyAlignment="1">
      <alignment vertical="center" wrapText="1"/>
    </xf>
    <xf numFmtId="0" fontId="22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left" vertical="center" wrapText="1"/>
    </xf>
    <xf numFmtId="0" fontId="17" fillId="0" borderId="7" xfId="0" applyFont="1" applyBorder="1" applyAlignment="1">
      <alignment horizontal="left" vertical="center" wrapText="1"/>
    </xf>
    <xf numFmtId="0" fontId="25" fillId="0" borderId="8" xfId="0" applyFont="1" applyBorder="1" applyAlignment="1">
      <alignment horizontal="center" vertical="top" wrapText="1"/>
    </xf>
    <xf numFmtId="0" fontId="17" fillId="0" borderId="9" xfId="0" applyFont="1" applyBorder="1" applyAlignment="1">
      <alignment horizontal="left" vertical="top" wrapText="1"/>
    </xf>
    <xf numFmtId="0" fontId="28" fillId="0" borderId="8" xfId="0" applyFont="1" applyBorder="1" applyAlignment="1">
      <alignment horizontal="center" vertical="top" wrapText="1"/>
    </xf>
    <xf numFmtId="0" fontId="17" fillId="0" borderId="7" xfId="0" applyFont="1" applyBorder="1" applyAlignment="1">
      <alignment horizontal="left" vertical="top" wrapText="1"/>
    </xf>
    <xf numFmtId="0" fontId="22" fillId="0" borderId="8" xfId="0" applyFont="1" applyBorder="1" applyAlignment="1">
      <alignment horizontal="center" vertical="top" wrapText="1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0" borderId="0" xfId="0" applyNumberFormat="1" applyAlignment="1">
      <alignment vertical="center" wrapText="1"/>
    </xf>
    <xf numFmtId="0" fontId="0" fillId="0" borderId="0" xfId="0" applyNumberFormat="1"/>
    <xf numFmtId="0" fontId="31" fillId="0" borderId="0" xfId="0" applyFont="1" applyAlignment="1"/>
    <xf numFmtId="0" fontId="19" fillId="0" borderId="3" xfId="0" applyFont="1" applyBorder="1" applyAlignment="1">
      <alignment vertical="center" wrapText="1"/>
    </xf>
    <xf numFmtId="0" fontId="20" fillId="13" borderId="3" xfId="0" applyFont="1" applyFill="1" applyBorder="1" applyAlignment="1">
      <alignment vertical="center" wrapText="1"/>
    </xf>
    <xf numFmtId="9" fontId="20" fillId="14" borderId="3" xfId="1" applyFont="1" applyFill="1" applyBorder="1" applyAlignment="1" applyProtection="1">
      <alignment vertical="center" wrapText="1"/>
    </xf>
    <xf numFmtId="0" fontId="20" fillId="15" borderId="3" xfId="0" applyFont="1" applyFill="1" applyBorder="1" applyAlignment="1">
      <alignment vertical="center" wrapText="1"/>
    </xf>
    <xf numFmtId="9" fontId="20" fillId="16" borderId="3" xfId="1" applyFont="1" applyFill="1" applyBorder="1" applyAlignment="1" applyProtection="1">
      <alignment vertical="center" wrapText="1"/>
    </xf>
    <xf numFmtId="0" fontId="20" fillId="17" borderId="3" xfId="0" applyFont="1" applyFill="1" applyBorder="1" applyAlignment="1">
      <alignment vertical="center" wrapText="1"/>
    </xf>
    <xf numFmtId="9" fontId="20" fillId="18" borderId="3" xfId="1" applyFont="1" applyFill="1" applyBorder="1" applyAlignment="1" applyProtection="1">
      <alignment vertical="center" wrapText="1"/>
    </xf>
    <xf numFmtId="0" fontId="20" fillId="7" borderId="3" xfId="0" applyFont="1" applyFill="1" applyBorder="1" applyAlignment="1">
      <alignment vertical="center" wrapText="1"/>
    </xf>
    <xf numFmtId="9" fontId="20" fillId="19" borderId="3" xfId="1" applyFont="1" applyFill="1" applyBorder="1" applyAlignment="1" applyProtection="1">
      <alignment vertical="center" wrapText="1"/>
    </xf>
    <xf numFmtId="0" fontId="20" fillId="20" borderId="3" xfId="0" applyFont="1" applyFill="1" applyBorder="1" applyAlignment="1">
      <alignment vertical="center" wrapText="1"/>
    </xf>
    <xf numFmtId="9" fontId="20" fillId="21" borderId="3" xfId="1" applyFont="1" applyFill="1" applyBorder="1" applyAlignment="1" applyProtection="1">
      <alignment vertical="center" wrapText="1"/>
    </xf>
    <xf numFmtId="9" fontId="20" fillId="7" borderId="3" xfId="1" applyFont="1" applyFill="1" applyBorder="1" applyAlignment="1" applyProtection="1">
      <alignment vertical="center" wrapText="1"/>
    </xf>
    <xf numFmtId="0" fontId="20" fillId="23" borderId="3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6" fillId="8" borderId="3" xfId="3" applyFont="1" applyBorder="1" applyAlignment="1" applyProtection="1">
      <alignment horizontal="center" vertical="center"/>
    </xf>
    <xf numFmtId="0" fontId="34" fillId="12" borderId="3" xfId="0" applyFont="1" applyFill="1" applyBorder="1" applyAlignment="1">
      <alignment vertical="center" wrapText="1"/>
    </xf>
    <xf numFmtId="9" fontId="34" fillId="12" borderId="3" xfId="0" applyNumberFormat="1" applyFont="1" applyFill="1" applyBorder="1" applyAlignment="1">
      <alignment vertical="center" wrapText="1"/>
    </xf>
    <xf numFmtId="2" fontId="2" fillId="24" borderId="22" xfId="0" applyNumberFormat="1" applyFont="1" applyFill="1" applyBorder="1"/>
    <xf numFmtId="0" fontId="2" fillId="24" borderId="24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Fill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NumberFormat="1" applyFont="1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0" fillId="26" borderId="0" xfId="0" applyFill="1" applyAlignment="1">
      <alignment vertical="center"/>
    </xf>
    <xf numFmtId="0" fontId="14" fillId="26" borderId="0" xfId="0" applyFont="1" applyFill="1" applyAlignment="1">
      <alignment vertical="center"/>
    </xf>
    <xf numFmtId="0" fontId="17" fillId="26" borderId="0" xfId="3" applyFont="1" applyFill="1" applyBorder="1" applyAlignment="1" applyProtection="1">
      <alignment horizontal="center" vertical="center"/>
    </xf>
    <xf numFmtId="0" fontId="0" fillId="26" borderId="0" xfId="0" applyFill="1" applyBorder="1" applyAlignment="1">
      <alignment vertical="center"/>
    </xf>
    <xf numFmtId="9" fontId="17" fillId="26" borderId="0" xfId="1" applyFont="1" applyFill="1" applyBorder="1" applyAlignment="1" applyProtection="1">
      <alignment vertical="center"/>
    </xf>
    <xf numFmtId="0" fontId="13" fillId="26" borderId="0" xfId="0" applyFont="1" applyFill="1" applyBorder="1" applyAlignment="1">
      <alignment horizontal="left" vertical="center"/>
    </xf>
    <xf numFmtId="0" fontId="18" fillId="26" borderId="0" xfId="0" applyFont="1" applyFill="1" applyBorder="1" applyAlignment="1">
      <alignment horizontal="center" vertical="center" wrapText="1"/>
    </xf>
    <xf numFmtId="0" fontId="20" fillId="26" borderId="0" xfId="0" applyFont="1" applyFill="1" applyBorder="1" applyAlignment="1">
      <alignment vertical="center" wrapText="1"/>
    </xf>
    <xf numFmtId="0" fontId="36" fillId="2" borderId="6" xfId="0" applyFont="1" applyFill="1" applyBorder="1" applyAlignment="1">
      <alignment horizontal="center" vertical="center"/>
    </xf>
    <xf numFmtId="0" fontId="37" fillId="2" borderId="8" xfId="0" applyFont="1" applyFill="1" applyBorder="1" applyAlignment="1">
      <alignment horizontal="center" vertical="center"/>
    </xf>
    <xf numFmtId="0" fontId="37" fillId="0" borderId="10" xfId="0" applyFont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0" fontId="38" fillId="0" borderId="8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40" fillId="0" borderId="0" xfId="0" applyFont="1" applyAlignment="1">
      <alignment vertical="center" wrapText="1"/>
    </xf>
    <xf numFmtId="164" fontId="0" fillId="0" borderId="0" xfId="0" applyNumberFormat="1" applyAlignment="1">
      <alignment horizontal="center" vertical="center" wrapText="1"/>
    </xf>
    <xf numFmtId="0" fontId="0" fillId="26" borderId="0" xfId="0" applyFill="1" applyAlignment="1">
      <alignment vertical="center" wrapText="1"/>
    </xf>
    <xf numFmtId="0" fontId="12" fillId="26" borderId="0" xfId="0" applyFont="1" applyFill="1" applyAlignment="1">
      <alignment horizontal="right" vertical="center" wrapText="1"/>
    </xf>
    <xf numFmtId="0" fontId="40" fillId="26" borderId="0" xfId="0" applyFont="1" applyFill="1" applyAlignment="1">
      <alignment vertical="center" wrapText="1"/>
    </xf>
    <xf numFmtId="0" fontId="38" fillId="3" borderId="8" xfId="0" applyFont="1" applyFill="1" applyBorder="1" applyAlignment="1">
      <alignment horizontal="center" vertical="center"/>
    </xf>
    <xf numFmtId="0" fontId="38" fillId="4" borderId="8" xfId="0" applyFont="1" applyFill="1" applyBorder="1" applyAlignment="1">
      <alignment horizontal="center" vertical="center"/>
    </xf>
    <xf numFmtId="0" fontId="38" fillId="5" borderId="8" xfId="0" applyFont="1" applyFill="1" applyBorder="1" applyAlignment="1">
      <alignment horizontal="center" vertical="center"/>
    </xf>
    <xf numFmtId="0" fontId="38" fillId="9" borderId="8" xfId="0" applyFont="1" applyFill="1" applyBorder="1" applyAlignment="1">
      <alignment horizontal="center" vertical="center"/>
    </xf>
    <xf numFmtId="0" fontId="38" fillId="10" borderId="8" xfId="0" applyFont="1" applyFill="1" applyBorder="1" applyAlignment="1">
      <alignment horizontal="center" vertical="center"/>
    </xf>
    <xf numFmtId="0" fontId="38" fillId="6" borderId="8" xfId="0" applyFont="1" applyFill="1" applyBorder="1" applyAlignment="1">
      <alignment horizontal="center" vertical="center"/>
    </xf>
    <xf numFmtId="0" fontId="6" fillId="31" borderId="3" xfId="2" applyFont="1" applyFill="1" applyBorder="1" applyAlignment="1">
      <alignment vertical="center" wrapText="1"/>
    </xf>
    <xf numFmtId="0" fontId="6" fillId="31" borderId="3" xfId="2" applyFont="1" applyFill="1" applyBorder="1" applyAlignment="1">
      <alignment vertical="center"/>
    </xf>
    <xf numFmtId="0" fontId="6" fillId="31" borderId="3" xfId="2" applyFont="1" applyFill="1" applyBorder="1" applyAlignment="1">
      <alignment horizontal="center" vertical="center" wrapText="1"/>
    </xf>
    <xf numFmtId="0" fontId="2" fillId="27" borderId="3" xfId="0" applyFont="1" applyFill="1" applyBorder="1" applyAlignment="1">
      <alignment vertical="center"/>
    </xf>
    <xf numFmtId="0" fontId="2" fillId="27" borderId="3" xfId="2" applyFont="1" applyFill="1" applyBorder="1" applyAlignment="1">
      <alignment vertical="center"/>
    </xf>
    <xf numFmtId="0" fontId="43" fillId="27" borderId="3" xfId="0" applyFont="1" applyFill="1" applyBorder="1" applyAlignment="1">
      <alignment horizontal="left" vertical="center"/>
    </xf>
    <xf numFmtId="14" fontId="6" fillId="27" borderId="3" xfId="2" applyNumberFormat="1" applyFont="1" applyFill="1" applyBorder="1" applyAlignment="1" applyProtection="1">
      <alignment horizontal="center" vertical="center" wrapText="1"/>
      <protection locked="0"/>
    </xf>
    <xf numFmtId="0" fontId="46" fillId="26" borderId="0" xfId="0" applyFont="1" applyFill="1" applyBorder="1" applyAlignment="1">
      <alignment horizontal="center" vertical="center" wrapText="1"/>
    </xf>
    <xf numFmtId="0" fontId="48" fillId="26" borderId="0" xfId="0" applyFont="1" applyFill="1" applyBorder="1" applyAlignment="1">
      <alignment vertical="center" wrapText="1"/>
    </xf>
    <xf numFmtId="0" fontId="44" fillId="26" borderId="0" xfId="0" applyFont="1" applyFill="1" applyBorder="1"/>
    <xf numFmtId="0" fontId="42" fillId="26" borderId="0" xfId="0" applyFont="1" applyFill="1" applyBorder="1" applyAlignment="1">
      <alignment vertical="center"/>
    </xf>
    <xf numFmtId="0" fontId="46" fillId="32" borderId="0" xfId="0" applyFont="1" applyFill="1" applyBorder="1" applyAlignment="1">
      <alignment horizontal="center" vertical="center" wrapText="1"/>
    </xf>
    <xf numFmtId="0" fontId="45" fillId="32" borderId="0" xfId="0" applyFont="1" applyFill="1" applyBorder="1" applyAlignment="1">
      <alignment horizontal="center" vertical="center" wrapText="1"/>
    </xf>
    <xf numFmtId="0" fontId="45" fillId="26" borderId="0" xfId="0" applyFont="1" applyFill="1" applyBorder="1" applyAlignment="1">
      <alignment vertical="center" wrapText="1"/>
    </xf>
    <xf numFmtId="0" fontId="30" fillId="25" borderId="0" xfId="0" applyFont="1" applyFill="1" applyBorder="1" applyAlignment="1">
      <alignment horizontal="center" vertical="center" wrapText="1"/>
    </xf>
    <xf numFmtId="9" fontId="47" fillId="26" borderId="0" xfId="1" applyFont="1" applyFill="1" applyBorder="1" applyAlignment="1" applyProtection="1">
      <alignment horizontal="center" vertical="center" wrapText="1"/>
    </xf>
    <xf numFmtId="0" fontId="47" fillId="26" borderId="0" xfId="0" applyFont="1" applyFill="1" applyBorder="1" applyAlignment="1">
      <alignment horizontal="center" vertical="center" wrapText="1"/>
    </xf>
    <xf numFmtId="0" fontId="47" fillId="26" borderId="0" xfId="0" applyFont="1" applyFill="1" applyBorder="1" applyAlignment="1">
      <alignment vertical="center" wrapText="1"/>
    </xf>
    <xf numFmtId="0" fontId="47" fillId="25" borderId="0" xfId="0" applyFont="1" applyFill="1" applyBorder="1" applyAlignment="1">
      <alignment horizontal="center" vertical="center" wrapText="1"/>
    </xf>
    <xf numFmtId="0" fontId="30" fillId="26" borderId="0" xfId="0" applyFont="1" applyFill="1" applyBorder="1" applyAlignment="1">
      <alignment horizontal="center" vertical="center" wrapText="1"/>
    </xf>
    <xf numFmtId="9" fontId="30" fillId="26" borderId="0" xfId="0" applyNumberFormat="1" applyFont="1" applyFill="1" applyBorder="1" applyAlignment="1">
      <alignment horizontal="center" vertical="center" wrapText="1"/>
    </xf>
    <xf numFmtId="0" fontId="30" fillId="26" borderId="0" xfId="0" applyFont="1" applyFill="1" applyBorder="1" applyAlignment="1">
      <alignment vertical="center" wrapText="1"/>
    </xf>
    <xf numFmtId="0" fontId="15" fillId="33" borderId="5" xfId="0" applyFont="1" applyFill="1" applyBorder="1" applyAlignment="1">
      <alignment horizontal="left" vertical="center" wrapText="1"/>
    </xf>
    <xf numFmtId="0" fontId="49" fillId="34" borderId="4" xfId="0" applyFont="1" applyFill="1" applyBorder="1" applyAlignment="1">
      <alignment horizontal="left" vertical="center"/>
    </xf>
    <xf numFmtId="0" fontId="50" fillId="26" borderId="0" xfId="0" applyFont="1" applyFill="1" applyAlignment="1">
      <alignment horizontal="right" vertical="center"/>
    </xf>
    <xf numFmtId="0" fontId="51" fillId="26" borderId="0" xfId="0" applyFont="1" applyFill="1" applyAlignment="1">
      <alignment vertical="center"/>
    </xf>
    <xf numFmtId="10" fontId="52" fillId="0" borderId="4" xfId="1" applyNumberFormat="1" applyFont="1" applyFill="1" applyBorder="1" applyAlignment="1" applyProtection="1">
      <alignment horizontal="right" vertical="center"/>
    </xf>
    <xf numFmtId="9" fontId="52" fillId="0" borderId="0" xfId="1" applyFont="1" applyFill="1" applyBorder="1" applyAlignment="1" applyProtection="1">
      <alignment horizontal="right" vertical="center"/>
    </xf>
    <xf numFmtId="0" fontId="52" fillId="26" borderId="0" xfId="0" applyFont="1" applyFill="1" applyBorder="1" applyAlignment="1">
      <alignment horizontal="left" vertical="center"/>
    </xf>
    <xf numFmtId="0" fontId="2" fillId="28" borderId="3" xfId="0" applyFont="1" applyFill="1" applyBorder="1" applyAlignment="1">
      <alignment horizontal="center" vertical="center"/>
    </xf>
    <xf numFmtId="0" fontId="16" fillId="36" borderId="3" xfId="3" applyFont="1" applyFill="1" applyBorder="1" applyAlignment="1" applyProtection="1">
      <alignment horizontal="center" vertical="center"/>
    </xf>
    <xf numFmtId="0" fontId="16" fillId="31" borderId="3" xfId="3" applyFont="1" applyFill="1" applyBorder="1" applyAlignment="1" applyProtection="1">
      <alignment horizontal="center" vertical="center" wrapText="1"/>
    </xf>
    <xf numFmtId="0" fontId="33" fillId="35" borderId="3" xfId="0" applyFont="1" applyFill="1" applyBorder="1" applyAlignment="1">
      <alignment horizontal="center" vertical="center" wrapText="1"/>
    </xf>
    <xf numFmtId="0" fontId="33" fillId="29" borderId="3" xfId="0" applyFont="1" applyFill="1" applyBorder="1" applyAlignment="1">
      <alignment horizontal="center" vertical="center"/>
    </xf>
    <xf numFmtId="0" fontId="39" fillId="37" borderId="15" xfId="4" applyFont="1" applyFill="1" applyBorder="1" applyAlignment="1">
      <alignment horizontal="center" vertical="center" wrapText="1"/>
    </xf>
    <xf numFmtId="0" fontId="39" fillId="37" borderId="16" xfId="4" applyFont="1" applyFill="1" applyBorder="1" applyAlignment="1">
      <alignment horizontal="center" vertical="center" wrapText="1"/>
    </xf>
    <xf numFmtId="0" fontId="39" fillId="37" borderId="16" xfId="4" applyFont="1" applyFill="1" applyBorder="1" applyAlignment="1" applyProtection="1">
      <alignment horizontal="center" vertical="center" wrapText="1"/>
    </xf>
    <xf numFmtId="0" fontId="39" fillId="33" borderId="16" xfId="4" applyFont="1" applyFill="1" applyBorder="1" applyAlignment="1">
      <alignment horizontal="center" vertical="center" wrapText="1"/>
    </xf>
    <xf numFmtId="0" fontId="39" fillId="33" borderId="15" xfId="4" applyFont="1" applyFill="1" applyBorder="1" applyAlignment="1">
      <alignment horizontal="center" vertical="center" wrapText="1"/>
    </xf>
    <xf numFmtId="14" fontId="39" fillId="37" borderId="16" xfId="4" applyNumberFormat="1" applyFont="1" applyFill="1" applyBorder="1" applyAlignment="1">
      <alignment horizontal="center" vertical="center" wrapText="1"/>
    </xf>
    <xf numFmtId="164" fontId="39" fillId="37" borderId="16" xfId="4" applyNumberFormat="1" applyFont="1" applyFill="1" applyBorder="1" applyAlignment="1">
      <alignment horizontal="center" vertical="center" wrapText="1"/>
    </xf>
    <xf numFmtId="0" fontId="50" fillId="26" borderId="0" xfId="0" applyFont="1" applyFill="1" applyAlignment="1">
      <alignment horizontal="right" vertical="center" wrapText="1"/>
    </xf>
    <xf numFmtId="0" fontId="0" fillId="30" borderId="0" xfId="0" applyFill="1" applyAlignment="1">
      <alignment horizontal="center" vertical="center" wrapText="1"/>
    </xf>
    <xf numFmtId="14" fontId="0" fillId="30" borderId="0" xfId="0" applyNumberFormat="1" applyFill="1" applyAlignment="1">
      <alignment horizontal="center" vertical="center" wrapText="1"/>
    </xf>
    <xf numFmtId="0" fontId="41" fillId="0" borderId="0" xfId="0" applyFont="1" applyAlignment="1">
      <alignment vertical="center"/>
    </xf>
    <xf numFmtId="0" fontId="41" fillId="26" borderId="0" xfId="0" applyFont="1" applyFill="1" applyAlignment="1">
      <alignment vertical="center"/>
    </xf>
    <xf numFmtId="0" fontId="40" fillId="0" borderId="0" xfId="0" applyFont="1" applyAlignment="1">
      <alignment vertical="center"/>
    </xf>
    <xf numFmtId="0" fontId="40" fillId="0" borderId="0" xfId="0" applyNumberFormat="1" applyFont="1" applyAlignment="1">
      <alignment vertical="center" wrapText="1"/>
    </xf>
    <xf numFmtId="164" fontId="53" fillId="0" borderId="0" xfId="0" applyNumberFormat="1" applyFont="1" applyAlignment="1">
      <alignment horizontal="center" vertical="center" wrapText="1"/>
    </xf>
    <xf numFmtId="0" fontId="53" fillId="0" borderId="0" xfId="0" applyFont="1" applyAlignment="1">
      <alignment vertical="center" wrapText="1"/>
    </xf>
    <xf numFmtId="0" fontId="45" fillId="39" borderId="17" xfId="0" applyNumberFormat="1" applyFont="1" applyFill="1" applyBorder="1" applyAlignment="1">
      <alignment horizontal="center" vertical="center" wrapText="1"/>
    </xf>
    <xf numFmtId="0" fontId="45" fillId="39" borderId="18" xfId="0" applyNumberFormat="1" applyFont="1" applyFill="1" applyBorder="1" applyAlignment="1">
      <alignment horizontal="center" vertical="center" wrapText="1"/>
    </xf>
    <xf numFmtId="164" fontId="45" fillId="39" borderId="18" xfId="0" applyNumberFormat="1" applyFont="1" applyFill="1" applyBorder="1" applyAlignment="1">
      <alignment horizontal="center" vertical="center" wrapText="1"/>
    </xf>
    <xf numFmtId="0" fontId="45" fillId="39" borderId="19" xfId="0" applyNumberFormat="1" applyFont="1" applyFill="1" applyBorder="1" applyAlignment="1">
      <alignment horizontal="center" vertical="center" wrapText="1"/>
    </xf>
    <xf numFmtId="164" fontId="40" fillId="0" borderId="0" xfId="0" applyNumberFormat="1" applyFont="1" applyAlignment="1">
      <alignment vertical="center" wrapText="1"/>
    </xf>
    <xf numFmtId="164" fontId="40" fillId="0" borderId="0" xfId="0" applyNumberFormat="1" applyFont="1" applyAlignment="1">
      <alignment horizontal="center" vertical="center" wrapText="1"/>
    </xf>
    <xf numFmtId="0" fontId="40" fillId="0" borderId="0" xfId="0" applyFont="1" applyAlignment="1">
      <alignment wrapText="1"/>
    </xf>
    <xf numFmtId="0" fontId="0" fillId="26" borderId="0" xfId="0" applyFill="1" applyAlignment="1">
      <alignment horizontal="center" vertical="center" wrapText="1"/>
    </xf>
    <xf numFmtId="0" fontId="0" fillId="26" borderId="0" xfId="0" applyFill="1" applyAlignment="1" applyProtection="1">
      <alignment horizontal="center" vertical="center" wrapText="1"/>
    </xf>
    <xf numFmtId="14" fontId="0" fillId="26" borderId="0" xfId="0" applyNumberFormat="1" applyFill="1" applyAlignment="1">
      <alignment horizontal="center" vertical="center" wrapText="1"/>
    </xf>
    <xf numFmtId="0" fontId="50" fillId="26" borderId="0" xfId="0" applyFont="1" applyFill="1" applyAlignment="1" applyProtection="1">
      <alignment horizontal="center" vertical="center" wrapText="1"/>
    </xf>
    <xf numFmtId="0" fontId="12" fillId="26" borderId="0" xfId="0" applyFont="1" applyFill="1" applyBorder="1" applyAlignment="1">
      <alignment horizontal="center" vertical="center" wrapText="1"/>
    </xf>
    <xf numFmtId="0" fontId="12" fillId="26" borderId="0" xfId="0" applyFont="1" applyFill="1" applyAlignment="1" applyProtection="1">
      <alignment horizontal="center" vertical="center" wrapText="1"/>
    </xf>
    <xf numFmtId="0" fontId="40" fillId="0" borderId="0" xfId="0" applyFont="1" applyAlignment="1">
      <alignment horizontal="center" vertical="center"/>
    </xf>
    <xf numFmtId="0" fontId="40" fillId="0" borderId="0" xfId="0" applyNumberFormat="1" applyFont="1" applyAlignment="1" applyProtection="1">
      <alignment horizontal="center" vertical="center"/>
    </xf>
    <xf numFmtId="0" fontId="40" fillId="0" borderId="0" xfId="0" applyNumberFormat="1" applyFont="1" applyAlignment="1">
      <alignment horizontal="center" vertical="center"/>
    </xf>
    <xf numFmtId="14" fontId="4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3" fillId="0" borderId="26" xfId="0" applyFont="1" applyBorder="1" applyAlignment="1">
      <alignment vertical="center"/>
    </xf>
    <xf numFmtId="14" fontId="53" fillId="0" borderId="26" xfId="0" applyNumberFormat="1" applyFont="1" applyBorder="1" applyAlignment="1">
      <alignment vertical="center"/>
    </xf>
    <xf numFmtId="0" fontId="53" fillId="0" borderId="26" xfId="0" applyFont="1" applyBorder="1" applyAlignment="1">
      <alignment vertical="center" wrapText="1"/>
    </xf>
    <xf numFmtId="0" fontId="30" fillId="39" borderId="30" xfId="0" applyNumberFormat="1" applyFont="1" applyFill="1" applyBorder="1" applyAlignment="1">
      <alignment horizontal="center" vertical="center"/>
    </xf>
    <xf numFmtId="0" fontId="30" fillId="39" borderId="31" xfId="0" applyNumberFormat="1" applyFont="1" applyFill="1" applyBorder="1" applyAlignment="1">
      <alignment horizontal="center" vertical="center"/>
    </xf>
    <xf numFmtId="164" fontId="30" fillId="39" borderId="31" xfId="0" applyNumberFormat="1" applyFont="1" applyFill="1" applyBorder="1" applyAlignment="1">
      <alignment horizontal="center" vertical="center"/>
    </xf>
    <xf numFmtId="0" fontId="30" fillId="39" borderId="32" xfId="0" applyNumberFormat="1" applyFont="1" applyFill="1" applyBorder="1" applyAlignment="1">
      <alignment horizontal="center" vertical="center"/>
    </xf>
    <xf numFmtId="0" fontId="53" fillId="0" borderId="28" xfId="0" applyFont="1" applyBorder="1" applyAlignment="1">
      <alignment vertical="center"/>
    </xf>
    <xf numFmtId="14" fontId="53" fillId="0" borderId="28" xfId="0" applyNumberFormat="1" applyFont="1" applyBorder="1" applyAlignment="1">
      <alignment vertical="center"/>
    </xf>
    <xf numFmtId="0" fontId="53" fillId="0" borderId="29" xfId="0" applyFont="1" applyBorder="1" applyAlignment="1">
      <alignment vertical="center"/>
    </xf>
    <xf numFmtId="0" fontId="53" fillId="0" borderId="28" xfId="0" applyFont="1" applyBorder="1" applyAlignment="1">
      <alignment vertical="center" wrapText="1"/>
    </xf>
    <xf numFmtId="0" fontId="32" fillId="40" borderId="26" xfId="0" applyFont="1" applyFill="1" applyBorder="1" applyAlignment="1">
      <alignment horizontal="center" vertical="center" wrapText="1"/>
    </xf>
    <xf numFmtId="14" fontId="0" fillId="0" borderId="26" xfId="0" applyNumberFormat="1" applyBorder="1" applyProtection="1">
      <protection locked="0"/>
    </xf>
    <xf numFmtId="1" fontId="0" fillId="0" borderId="26" xfId="0" applyNumberFormat="1" applyBorder="1" applyProtection="1">
      <protection locked="0"/>
    </xf>
    <xf numFmtId="0" fontId="0" fillId="0" borderId="26" xfId="0" applyNumberFormat="1" applyBorder="1"/>
    <xf numFmtId="0" fontId="0" fillId="26" borderId="0" xfId="0" applyFill="1"/>
    <xf numFmtId="0" fontId="0" fillId="0" borderId="26" xfId="0" applyNumberFormat="1" applyBorder="1" applyProtection="1"/>
    <xf numFmtId="0" fontId="40" fillId="0" borderId="0" xfId="0" applyNumberFormat="1" applyFont="1" applyAlignment="1">
      <alignment horizontal="left" vertical="center" wrapText="1"/>
    </xf>
    <xf numFmtId="1" fontId="0" fillId="0" borderId="28" xfId="0" applyNumberFormat="1" applyBorder="1" applyProtection="1">
      <protection locked="0"/>
    </xf>
    <xf numFmtId="0" fontId="0" fillId="0" borderId="29" xfId="0" applyNumberFormat="1" applyBorder="1"/>
    <xf numFmtId="14" fontId="0" fillId="0" borderId="27" xfId="0" applyNumberFormat="1" applyBorder="1" applyProtection="1">
      <protection locked="0"/>
    </xf>
    <xf numFmtId="0" fontId="40" fillId="41" borderId="26" xfId="0" applyNumberFormat="1" applyFont="1" applyFill="1" applyBorder="1" applyAlignment="1">
      <alignment vertical="center" wrapText="1"/>
    </xf>
    <xf numFmtId="0" fontId="40" fillId="42" borderId="26" xfId="0" applyNumberFormat="1" applyFont="1" applyFill="1" applyBorder="1" applyAlignment="1">
      <alignment vertical="center" wrapText="1"/>
    </xf>
    <xf numFmtId="0" fontId="41" fillId="0" borderId="0" xfId="0" applyFont="1" applyAlignment="1">
      <alignment horizontal="center" vertical="center"/>
    </xf>
    <xf numFmtId="0" fontId="54" fillId="38" borderId="4" xfId="0" applyFont="1" applyFill="1" applyBorder="1" applyAlignment="1">
      <alignment horizontal="center" vertical="center" wrapText="1"/>
    </xf>
    <xf numFmtId="0" fontId="41" fillId="0" borderId="0" xfId="0" applyNumberFormat="1" applyFont="1" applyAlignment="1">
      <alignment vertical="center" wrapText="1"/>
    </xf>
    <xf numFmtId="0" fontId="53" fillId="0" borderId="25" xfId="0" applyFont="1" applyBorder="1" applyAlignment="1">
      <alignment vertical="center"/>
    </xf>
    <xf numFmtId="0" fontId="53" fillId="0" borderId="34" xfId="0" applyFont="1" applyBorder="1" applyAlignment="1">
      <alignment vertical="center"/>
    </xf>
    <xf numFmtId="0" fontId="41" fillId="0" borderId="0" xfId="0" applyNumberFormat="1" applyFont="1" applyAlignment="1" applyProtection="1">
      <alignment horizontal="center" vertical="center"/>
    </xf>
    <xf numFmtId="0" fontId="55" fillId="0" borderId="0" xfId="0" applyNumberFormat="1" applyFont="1" applyAlignment="1">
      <alignment vertical="center" wrapText="1"/>
    </xf>
    <xf numFmtId="164" fontId="55" fillId="0" borderId="0" xfId="0" applyNumberFormat="1" applyFont="1" applyAlignment="1">
      <alignment vertical="center" wrapText="1"/>
    </xf>
    <xf numFmtId="164" fontId="55" fillId="0" borderId="0" xfId="0" applyNumberFormat="1" applyFont="1" applyAlignment="1">
      <alignment horizontal="center" vertical="center" wrapText="1"/>
    </xf>
    <xf numFmtId="0" fontId="53" fillId="0" borderId="27" xfId="0" applyFont="1" applyBorder="1" applyAlignment="1">
      <alignment vertical="center"/>
    </xf>
    <xf numFmtId="0" fontId="0" fillId="0" borderId="29" xfId="0" applyNumberFormat="1" applyBorder="1" applyProtection="1"/>
    <xf numFmtId="0" fontId="3" fillId="30" borderId="1" xfId="0" applyFont="1" applyFill="1" applyBorder="1" applyAlignment="1">
      <alignment horizontal="center" vertical="center" wrapText="1"/>
    </xf>
    <xf numFmtId="0" fontId="3" fillId="30" borderId="2" xfId="0" applyFont="1" applyFill="1" applyBorder="1" applyAlignment="1">
      <alignment horizontal="center" vertical="center" wrapText="1"/>
    </xf>
    <xf numFmtId="0" fontId="4" fillId="30" borderId="3" xfId="0" applyFont="1" applyFill="1" applyBorder="1" applyAlignment="1">
      <alignment horizontal="center" vertical="center" wrapText="1"/>
    </xf>
    <xf numFmtId="0" fontId="7" fillId="27" borderId="3" xfId="2" applyFont="1" applyFill="1" applyBorder="1" applyAlignment="1">
      <alignment horizontal="left" vertical="center"/>
    </xf>
    <xf numFmtId="0" fontId="8" fillId="0" borderId="20" xfId="2" applyFont="1" applyFill="1" applyBorder="1" applyAlignment="1">
      <alignment horizontal="left" vertical="center" wrapText="1"/>
    </xf>
    <xf numFmtId="0" fontId="9" fillId="0" borderId="33" xfId="2" applyFont="1" applyFill="1" applyBorder="1" applyAlignment="1">
      <alignment horizontal="left" vertical="center" wrapText="1"/>
    </xf>
    <xf numFmtId="0" fontId="9" fillId="0" borderId="21" xfId="2" applyFont="1" applyFill="1" applyBorder="1" applyAlignment="1">
      <alignment horizontal="left" vertical="center" wrapText="1"/>
    </xf>
    <xf numFmtId="0" fontId="11" fillId="30" borderId="3" xfId="0" applyFont="1" applyFill="1" applyBorder="1" applyAlignment="1">
      <alignment horizontal="center" vertical="center" wrapText="1"/>
    </xf>
    <xf numFmtId="0" fontId="45" fillId="32" borderId="0" xfId="0" applyFont="1" applyFill="1" applyBorder="1" applyAlignment="1">
      <alignment horizontal="center" vertical="center" wrapText="1"/>
    </xf>
    <xf numFmtId="0" fontId="49" fillId="34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horizontal="left" vertical="center"/>
    </xf>
    <xf numFmtId="0" fontId="15" fillId="33" borderId="3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 wrapText="1"/>
    </xf>
    <xf numFmtId="0" fontId="2" fillId="6" borderId="20" xfId="0" applyFont="1" applyFill="1" applyBorder="1" applyAlignment="1">
      <alignment horizontal="center" vertical="center"/>
    </xf>
    <xf numFmtId="0" fontId="2" fillId="6" borderId="21" xfId="0" applyFont="1" applyFill="1" applyBorder="1" applyAlignment="1">
      <alignment horizontal="center" vertical="center"/>
    </xf>
    <xf numFmtId="0" fontId="16" fillId="8" borderId="20" xfId="3" applyFont="1" applyBorder="1" applyAlignment="1" applyProtection="1">
      <alignment horizontal="center" vertical="center"/>
    </xf>
    <xf numFmtId="0" fontId="16" fillId="8" borderId="21" xfId="3" applyFont="1" applyBorder="1" applyAlignment="1" applyProtection="1">
      <alignment horizontal="center" vertical="center"/>
    </xf>
    <xf numFmtId="0" fontId="2" fillId="7" borderId="20" xfId="0" applyFont="1" applyFill="1" applyBorder="1" applyAlignment="1">
      <alignment horizontal="center" vertical="center"/>
    </xf>
    <xf numFmtId="0" fontId="2" fillId="7" borderId="21" xfId="0" applyFont="1" applyFill="1" applyBorder="1" applyAlignment="1">
      <alignment horizontal="center" vertical="center"/>
    </xf>
    <xf numFmtId="0" fontId="54" fillId="38" borderId="12" xfId="0" applyFont="1" applyFill="1" applyBorder="1" applyAlignment="1">
      <alignment horizontal="center" vertical="center" wrapText="1"/>
    </xf>
    <xf numFmtId="0" fontId="54" fillId="38" borderId="13" xfId="0" applyFont="1" applyFill="1" applyBorder="1" applyAlignment="1">
      <alignment horizontal="center" vertical="center" wrapText="1"/>
    </xf>
    <xf numFmtId="0" fontId="54" fillId="38" borderId="14" xfId="0" applyFont="1" applyFill="1" applyBorder="1" applyAlignment="1">
      <alignment horizontal="center" vertical="center" wrapText="1"/>
    </xf>
    <xf numFmtId="0" fontId="31" fillId="0" borderId="0" xfId="0" applyNumberFormat="1" applyFont="1" applyAlignment="1">
      <alignment horizontal="center"/>
    </xf>
    <xf numFmtId="0" fontId="31" fillId="0" borderId="0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/>
    </xf>
    <xf numFmtId="0" fontId="7" fillId="11" borderId="26" xfId="0" applyFont="1" applyFill="1" applyBorder="1" applyAlignment="1">
      <alignment horizontal="center"/>
    </xf>
    <xf numFmtId="0" fontId="35" fillId="22" borderId="0" xfId="0" applyFont="1" applyFill="1" applyAlignment="1">
      <alignment horizontal="left"/>
    </xf>
    <xf numFmtId="0" fontId="2" fillId="24" borderId="22" xfId="0" applyFont="1" applyFill="1" applyBorder="1" applyAlignment="1">
      <alignment horizontal="left"/>
    </xf>
    <xf numFmtId="0" fontId="2" fillId="24" borderId="23" xfId="0" applyFont="1" applyFill="1" applyBorder="1" applyAlignment="1">
      <alignment horizontal="left"/>
    </xf>
    <xf numFmtId="0" fontId="2" fillId="24" borderId="24" xfId="0" applyFont="1" applyFill="1" applyBorder="1" applyAlignment="1">
      <alignment horizontal="left"/>
    </xf>
  </cellXfs>
  <cellStyles count="5">
    <cellStyle name="(4) STM-1 (LECT)_x000d__x000a_PL-4579-M-039-99_x000d__x000a_FALTA APE" xfId="4"/>
    <cellStyle name="Excel Built-in 20% - Accent1" xfId="3"/>
    <cellStyle name="Normal" xfId="0" builtinId="0"/>
    <cellStyle name="Normal_Nuevo Formato Matriz de Pruebas - 150909" xfId="2"/>
    <cellStyle name="Porcentaje" xfId="1" builtinId="5"/>
  </cellStyles>
  <dxfs count="84">
    <dxf>
      <numFmt numFmtId="0" formatCode="General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numFmt numFmtId="1" formatCode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numFmt numFmtId="19" formatCode="dd/mm/yyyy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border outline="0">
        <left style="medium">
          <color indexed="22"/>
        </left>
        <right style="medium">
          <color indexed="22"/>
        </right>
        <top style="medium">
          <color indexed="22"/>
        </top>
        <bottom style="thin">
          <color indexed="22"/>
        </bottom>
      </border>
    </dxf>
    <dxf>
      <border outline="0">
        <bottom style="medium">
          <color indexed="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0"/>
          <bgColor theme="3" tint="-0.499984740745262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numFmt numFmtId="0" formatCode="General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numFmt numFmtId="1" formatCode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numFmt numFmtId="1" formatCode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numFmt numFmtId="1" formatCode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numFmt numFmtId="1" formatCode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numFmt numFmtId="1" formatCode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numFmt numFmtId="1" formatCode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numFmt numFmtId="1" formatCode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numFmt numFmtId="19" formatCode="dd/mm/yyyy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border outline="0">
        <left style="medium">
          <color indexed="22"/>
        </left>
        <right style="medium">
          <color indexed="22"/>
        </right>
        <top style="medium">
          <color indexed="22"/>
        </top>
        <bottom style="thin">
          <color indexed="22"/>
        </bottom>
      </border>
    </dxf>
    <dxf>
      <protection locked="0" hidden="0"/>
    </dxf>
    <dxf>
      <border outline="0">
        <bottom style="medium">
          <color indexed="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0"/>
          <bgColor theme="3" tint="-0.499984740745262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numFmt numFmtId="0" formatCode="General"/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numFmt numFmtId="19" formatCode="dd/mm/yyyy"/>
      <alignment horizontal="general" vertical="center" textRotation="0" wrapText="1" relativeIndent="0" justifyLastLine="0" shrinkToFit="0" readingOrder="0"/>
    </dxf>
    <dxf>
      <numFmt numFmtId="19" formatCode="dd/mm/yyyy"/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fill>
        <patternFill patternType="solid">
          <fgColor indexed="64"/>
          <bgColor theme="3" tint="-0.499984740745262"/>
        </patternFill>
      </fill>
      <alignment horizontal="center" vertical="center" textRotation="0" wrapText="1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alignment horizontal="general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indent="0" justifyLastLine="0" shrinkToFit="0" readingOrder="0"/>
    </dxf>
    <dxf>
      <border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numFmt numFmtId="0" formatCode="General"/>
      <fill>
        <patternFill patternType="solid">
          <fgColor theme="9"/>
          <bgColor theme="3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dd/mm/yyyy;@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dd/mm/yyyy;@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dd/mm/yyyy;@"/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vertical="center" textRotation="0" wrapText="1" indent="0" justifyLastLine="0" shrinkToFit="0" readingOrder="0"/>
    </dxf>
    <dxf>
      <border outline="0">
        <top style="thin">
          <color theme="9" tint="0.39997558519241921"/>
        </top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vertical="center" textRotation="0" wrapText="1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scheme val="none"/>
      </font>
      <numFmt numFmtId="0" formatCode="General"/>
      <fill>
        <patternFill patternType="solid">
          <fgColor theme="9"/>
          <bgColor theme="3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z val="9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border outline="0">
        <top style="thin">
          <color theme="5"/>
        </top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9"/>
        </left>
        <right style="thin">
          <color indexed="9"/>
        </right>
        <top/>
        <bottom/>
      </border>
    </dxf>
    <dxf>
      <border outline="0">
        <bottom style="thin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 Narrow"/>
        <scheme val="none"/>
      </font>
      <fill>
        <patternFill patternType="solid">
          <fgColor indexed="58"/>
          <bgColor theme="3" tint="-0.499984740745262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9"/>
        </left>
        <right style="thin">
          <color indexed="9"/>
        </right>
        <top/>
        <bottom/>
      </border>
    </dxf>
    <dxf>
      <font>
        <b/>
        <i val="0"/>
        <color theme="6" tint="-0.499984740745262"/>
      </font>
      <fill>
        <patternFill patternType="solid">
          <fgColor indexed="44"/>
          <bgColor theme="6" tint="0.79998168889431442"/>
        </patternFill>
      </fill>
    </dxf>
    <dxf>
      <font>
        <b/>
        <i val="0"/>
        <color theme="9" tint="-0.499984740745262"/>
      </font>
      <fill>
        <patternFill patternType="solid">
          <fgColor indexed="22"/>
          <bgColor theme="9" tint="0.79998168889431442"/>
        </patternFill>
      </fill>
    </dxf>
    <dxf>
      <font>
        <b/>
        <i val="0"/>
        <color rgb="FFFF0000"/>
      </font>
      <fill>
        <patternFill patternType="solid">
          <fgColor indexed="46"/>
          <bgColor theme="5" tint="0.79998168889431442"/>
        </patternFill>
      </fill>
    </dxf>
  </dxfs>
  <tableStyles count="0" defaultTableStyle="TableStyleMedium9" defaultPivotStyle="PivotStyleLight16"/>
  <colors>
    <mruColors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s-ES" sz="1600"/>
            </a:pPr>
            <a:r>
              <a:rPr lang="es-ES" sz="1600"/>
              <a:t>Distribución Porcentual de los Estados de Casos de Prueba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1306389798620529"/>
          <c:y val="0.20151813899974841"/>
          <c:w val="0.50142494135134885"/>
          <c:h val="0.77617833387264945"/>
        </c:manualLayout>
      </c:layout>
      <c:pieChart>
        <c:varyColors val="1"/>
        <c:ser>
          <c:idx val="0"/>
          <c:order val="0"/>
          <c:explosion val="6"/>
          <c:dLbls>
            <c:spPr>
              <a:solidFill>
                <a:schemeClr val="tx1"/>
              </a:solidFill>
            </c:spPr>
            <c:txPr>
              <a:bodyPr/>
              <a:lstStyle/>
              <a:p>
                <a:pPr>
                  <a:defRPr lang="es-ES"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Resumen!$E$12:$J$12</c:f>
              <c:strCache>
                <c:ptCount val="6"/>
                <c:pt idx="0">
                  <c:v>Acierto</c:v>
                </c:pt>
                <c:pt idx="1">
                  <c:v>Fallo</c:v>
                </c:pt>
                <c:pt idx="2">
                  <c:v>Bloqueado</c:v>
                </c:pt>
                <c:pt idx="3">
                  <c:v>Pendiente</c:v>
                </c:pt>
                <c:pt idx="4">
                  <c:v>No Aplica</c:v>
                </c:pt>
                <c:pt idx="5">
                  <c:v>En Proceso</c:v>
                </c:pt>
              </c:strCache>
            </c:strRef>
          </c:cat>
          <c:val>
            <c:numRef>
              <c:f>Resumen!$E$14:$J$14</c:f>
              <c:numCache>
                <c:formatCode>0%</c:formatCode>
                <c:ptCount val="6"/>
                <c:pt idx="0">
                  <c:v>0.5714285714285714</c:v>
                </c:pt>
                <c:pt idx="1">
                  <c:v>0</c:v>
                </c:pt>
                <c:pt idx="2">
                  <c:v>0</c:v>
                </c:pt>
                <c:pt idx="3">
                  <c:v>0.2857142857142857</c:v>
                </c:pt>
                <c:pt idx="4">
                  <c:v>0</c:v>
                </c:pt>
                <c:pt idx="5">
                  <c:v>0.14285714285714285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>
            <a:defRPr lang="es-ES"/>
          </a:pPr>
          <a:endParaRPr lang="es-PE"/>
        </a:p>
      </c:txPr>
    </c:legend>
    <c:plotVisOnly val="1"/>
    <c:dispBlanksAs val="zero"/>
    <c:showDLblsOverMax val="0"/>
  </c:chart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s-ES"/>
            </a:pPr>
            <a:r>
              <a:rPr lang="es-ES"/>
              <a:t>Distribución Porcentual de los Estados de las Incidencias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explosion val="4"/>
          <c:dLbls>
            <c:spPr>
              <a:solidFill>
                <a:schemeClr val="tx1"/>
              </a:solidFill>
            </c:spPr>
            <c:txPr>
              <a:bodyPr/>
              <a:lstStyle/>
              <a:p>
                <a:pPr>
                  <a:defRPr lang="es-ES"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multiLvlStrRef>
              <c:f>(Resumen!$C$29,Resumen!$E$29)</c:f>
            </c:multiLvlStrRef>
          </c:cat>
          <c:val>
            <c:numRef>
              <c:f>(Resumen!$C$35,Resumen!$E$35)</c:f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 lang="es-ES"/>
          </a:pPr>
          <a:endParaRPr lang="es-PE"/>
        </a:p>
      </c:txPr>
    </c:legend>
    <c:plotVisOnly val="1"/>
    <c:dispBlanksAs val="zero"/>
    <c:showDLblsOverMax val="0"/>
  </c:chart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HistoricoAvance!$C$3</c:f>
              <c:strCache>
                <c:ptCount val="1"/>
                <c:pt idx="0">
                  <c:v>Aciertos</c:v>
                </c:pt>
              </c:strCache>
            </c:strRef>
          </c:tx>
          <c:spPr>
            <a:ln w="50800"/>
          </c:spPr>
          <c:cat>
            <c:numRef>
              <c:f>HistoricoAvance!$B$4:$B$10</c:f>
              <c:numCache>
                <c:formatCode>dd/mm/yyyy</c:formatCode>
                <c:ptCount val="7"/>
                <c:pt idx="0">
                  <c:v>41148</c:v>
                </c:pt>
                <c:pt idx="1">
                  <c:v>41150</c:v>
                </c:pt>
                <c:pt idx="2">
                  <c:v>41153</c:v>
                </c:pt>
                <c:pt idx="3">
                  <c:v>41170</c:v>
                </c:pt>
                <c:pt idx="4">
                  <c:v>41171</c:v>
                </c:pt>
                <c:pt idx="5">
                  <c:v>41179</c:v>
                </c:pt>
                <c:pt idx="6">
                  <c:v>41181</c:v>
                </c:pt>
              </c:numCache>
            </c:numRef>
          </c:cat>
          <c:val>
            <c:numRef>
              <c:f>HistoricoAvance!$C$4:$C$10</c:f>
              <c:numCache>
                <c:formatCode>0</c:formatCode>
                <c:ptCount val="7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HistoricoAvance!$D$3</c:f>
              <c:strCache>
                <c:ptCount val="1"/>
                <c:pt idx="0">
                  <c:v>Fallos</c:v>
                </c:pt>
              </c:strCache>
            </c:strRef>
          </c:tx>
          <c:spPr>
            <a:ln w="50800"/>
          </c:spPr>
          <c:cat>
            <c:numRef>
              <c:f>HistoricoAvance!$B$4:$B$10</c:f>
              <c:numCache>
                <c:formatCode>dd/mm/yyyy</c:formatCode>
                <c:ptCount val="7"/>
                <c:pt idx="0">
                  <c:v>41148</c:v>
                </c:pt>
                <c:pt idx="1">
                  <c:v>41150</c:v>
                </c:pt>
                <c:pt idx="2">
                  <c:v>41153</c:v>
                </c:pt>
                <c:pt idx="3">
                  <c:v>41170</c:v>
                </c:pt>
                <c:pt idx="4">
                  <c:v>41171</c:v>
                </c:pt>
                <c:pt idx="5">
                  <c:v>41179</c:v>
                </c:pt>
                <c:pt idx="6">
                  <c:v>41181</c:v>
                </c:pt>
              </c:numCache>
            </c:numRef>
          </c:cat>
          <c:val>
            <c:numRef>
              <c:f>HistoricoAvance!$D$4:$D$10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HistoricoAvance!$E$3</c:f>
              <c:strCache>
                <c:ptCount val="1"/>
                <c:pt idx="0">
                  <c:v>Bloqueado</c:v>
                </c:pt>
              </c:strCache>
            </c:strRef>
          </c:tx>
          <c:cat>
            <c:numRef>
              <c:f>HistoricoAvance!$B$4:$B$10</c:f>
              <c:numCache>
                <c:formatCode>dd/mm/yyyy</c:formatCode>
                <c:ptCount val="7"/>
                <c:pt idx="0">
                  <c:v>41148</c:v>
                </c:pt>
                <c:pt idx="1">
                  <c:v>41150</c:v>
                </c:pt>
                <c:pt idx="2">
                  <c:v>41153</c:v>
                </c:pt>
                <c:pt idx="3">
                  <c:v>41170</c:v>
                </c:pt>
                <c:pt idx="4">
                  <c:v>41171</c:v>
                </c:pt>
                <c:pt idx="5">
                  <c:v>41179</c:v>
                </c:pt>
                <c:pt idx="6">
                  <c:v>41181</c:v>
                </c:pt>
              </c:numCache>
            </c:numRef>
          </c:cat>
          <c:val>
            <c:numRef>
              <c:f>HistoricoAvance!$E$4:$E$10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HistoricoAvance!$F$3</c:f>
              <c:strCache>
                <c:ptCount val="1"/>
                <c:pt idx="0">
                  <c:v>Pendiente</c:v>
                </c:pt>
              </c:strCache>
            </c:strRef>
          </c:tx>
          <c:cat>
            <c:numRef>
              <c:f>HistoricoAvance!$B$4:$B$10</c:f>
              <c:numCache>
                <c:formatCode>dd/mm/yyyy</c:formatCode>
                <c:ptCount val="7"/>
                <c:pt idx="0">
                  <c:v>41148</c:v>
                </c:pt>
                <c:pt idx="1">
                  <c:v>41150</c:v>
                </c:pt>
                <c:pt idx="2">
                  <c:v>41153</c:v>
                </c:pt>
                <c:pt idx="3">
                  <c:v>41170</c:v>
                </c:pt>
                <c:pt idx="4">
                  <c:v>41171</c:v>
                </c:pt>
                <c:pt idx="5">
                  <c:v>41179</c:v>
                </c:pt>
                <c:pt idx="6">
                  <c:v>41181</c:v>
                </c:pt>
              </c:numCache>
            </c:numRef>
          </c:cat>
          <c:val>
            <c:numRef>
              <c:f>HistoricoAvance!$F$4:$F$10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HistoricoAvance!$G$3</c:f>
              <c:strCache>
                <c:ptCount val="1"/>
                <c:pt idx="0">
                  <c:v>No Aplica</c:v>
                </c:pt>
              </c:strCache>
            </c:strRef>
          </c:tx>
          <c:cat>
            <c:numRef>
              <c:f>HistoricoAvance!$B$4:$B$10</c:f>
              <c:numCache>
                <c:formatCode>dd/mm/yyyy</c:formatCode>
                <c:ptCount val="7"/>
                <c:pt idx="0">
                  <c:v>41148</c:v>
                </c:pt>
                <c:pt idx="1">
                  <c:v>41150</c:v>
                </c:pt>
                <c:pt idx="2">
                  <c:v>41153</c:v>
                </c:pt>
                <c:pt idx="3">
                  <c:v>41170</c:v>
                </c:pt>
                <c:pt idx="4">
                  <c:v>41171</c:v>
                </c:pt>
                <c:pt idx="5">
                  <c:v>41179</c:v>
                </c:pt>
                <c:pt idx="6">
                  <c:v>41181</c:v>
                </c:pt>
              </c:numCache>
            </c:numRef>
          </c:cat>
          <c:val>
            <c:numRef>
              <c:f>HistoricoAvance!$G$4:$G$10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HistoricoAvance!$H$3</c:f>
              <c:strCache>
                <c:ptCount val="1"/>
                <c:pt idx="0">
                  <c:v>En Proceso</c:v>
                </c:pt>
              </c:strCache>
            </c:strRef>
          </c:tx>
          <c:cat>
            <c:numRef>
              <c:f>HistoricoAvance!$B$4:$B$10</c:f>
              <c:numCache>
                <c:formatCode>dd/mm/yyyy</c:formatCode>
                <c:ptCount val="7"/>
                <c:pt idx="0">
                  <c:v>41148</c:v>
                </c:pt>
                <c:pt idx="1">
                  <c:v>41150</c:v>
                </c:pt>
                <c:pt idx="2">
                  <c:v>41153</c:v>
                </c:pt>
                <c:pt idx="3">
                  <c:v>41170</c:v>
                </c:pt>
                <c:pt idx="4">
                  <c:v>41171</c:v>
                </c:pt>
                <c:pt idx="5">
                  <c:v>41179</c:v>
                </c:pt>
                <c:pt idx="6">
                  <c:v>41181</c:v>
                </c:pt>
              </c:numCache>
            </c:numRef>
          </c:cat>
          <c:val>
            <c:numRef>
              <c:f>HistoricoAvance!$H$4:$H$10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HistoricoAvance!$I$3</c:f>
              <c:strCache>
                <c:ptCount val="1"/>
                <c:pt idx="0">
                  <c:v>Reejecuciones</c:v>
                </c:pt>
              </c:strCache>
            </c:strRef>
          </c:tx>
          <c:cat>
            <c:numRef>
              <c:f>HistoricoAvance!$B$4:$B$10</c:f>
              <c:numCache>
                <c:formatCode>dd/mm/yyyy</c:formatCode>
                <c:ptCount val="7"/>
                <c:pt idx="0">
                  <c:v>41148</c:v>
                </c:pt>
                <c:pt idx="1">
                  <c:v>41150</c:v>
                </c:pt>
                <c:pt idx="2">
                  <c:v>41153</c:v>
                </c:pt>
                <c:pt idx="3">
                  <c:v>41170</c:v>
                </c:pt>
                <c:pt idx="4">
                  <c:v>41171</c:v>
                </c:pt>
                <c:pt idx="5">
                  <c:v>41179</c:v>
                </c:pt>
                <c:pt idx="6">
                  <c:v>41181</c:v>
                </c:pt>
              </c:numCache>
            </c:numRef>
          </c:cat>
          <c:val>
            <c:numRef>
              <c:f>HistoricoAvance!$I$4:$I$10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HistoricoAvance!$J$3</c:f>
              <c:strCache>
                <c:ptCount val="1"/>
                <c:pt idx="0">
                  <c:v>Totales</c:v>
                </c:pt>
              </c:strCache>
            </c:strRef>
          </c:tx>
          <c:spPr>
            <a:ln w="50800" cmpd="sng">
              <a:solidFill>
                <a:schemeClr val="tx1"/>
              </a:solidFill>
            </a:ln>
          </c:spPr>
          <c:cat>
            <c:numRef>
              <c:f>HistoricoAvance!$B$4:$B$10</c:f>
              <c:numCache>
                <c:formatCode>dd/mm/yyyy</c:formatCode>
                <c:ptCount val="7"/>
                <c:pt idx="0">
                  <c:v>41148</c:v>
                </c:pt>
                <c:pt idx="1">
                  <c:v>41150</c:v>
                </c:pt>
                <c:pt idx="2">
                  <c:v>41153</c:v>
                </c:pt>
                <c:pt idx="3">
                  <c:v>41170</c:v>
                </c:pt>
                <c:pt idx="4">
                  <c:v>41171</c:v>
                </c:pt>
                <c:pt idx="5">
                  <c:v>41179</c:v>
                </c:pt>
                <c:pt idx="6">
                  <c:v>41181</c:v>
                </c:pt>
              </c:numCache>
            </c:numRef>
          </c:cat>
          <c:val>
            <c:numRef>
              <c:f>HistoricoAvance!$J$4:$J$10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370240"/>
        <c:axId val="115380224"/>
      </c:lineChart>
      <c:dateAx>
        <c:axId val="115370240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15380224"/>
        <c:crosses val="autoZero"/>
        <c:auto val="1"/>
        <c:lblOffset val="100"/>
        <c:baseTimeUnit val="days"/>
      </c:dateAx>
      <c:valAx>
        <c:axId val="11538022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1537024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ES"/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HistoricoAvance!$M$3</c:f>
              <c:strCache>
                <c:ptCount val="1"/>
                <c:pt idx="0">
                  <c:v>Abiertas</c:v>
                </c:pt>
              </c:strCache>
            </c:strRef>
          </c:tx>
          <c:spPr>
            <a:ln w="50800">
              <a:solidFill>
                <a:schemeClr val="accent2"/>
              </a:solidFill>
            </a:ln>
          </c:spPr>
          <c:cat>
            <c:numRef>
              <c:f>HistoricoAvance!$L$4:$L$10</c:f>
              <c:numCache>
                <c:formatCode>dd/mm/yyyy</c:formatCode>
                <c:ptCount val="7"/>
                <c:pt idx="0">
                  <c:v>41148</c:v>
                </c:pt>
                <c:pt idx="1">
                  <c:v>41150</c:v>
                </c:pt>
                <c:pt idx="2">
                  <c:v>41153</c:v>
                </c:pt>
                <c:pt idx="3">
                  <c:v>41170</c:v>
                </c:pt>
                <c:pt idx="4">
                  <c:v>41171</c:v>
                </c:pt>
                <c:pt idx="5">
                  <c:v>41179</c:v>
                </c:pt>
                <c:pt idx="6">
                  <c:v>41181</c:v>
                </c:pt>
              </c:numCache>
            </c:numRef>
          </c:cat>
          <c:val>
            <c:numRef>
              <c:f>HistoricoAvance!$M$4:$M$10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6</c:v>
                </c:pt>
                <c:pt idx="6">
                  <c:v>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HistoricoAvance!$N$3</c:f>
              <c:strCache>
                <c:ptCount val="1"/>
                <c:pt idx="0">
                  <c:v>Cerradas</c:v>
                </c:pt>
              </c:strCache>
            </c:strRef>
          </c:tx>
          <c:spPr>
            <a:ln w="50800">
              <a:solidFill>
                <a:schemeClr val="accent1"/>
              </a:solidFill>
            </a:ln>
          </c:spPr>
          <c:cat>
            <c:numRef>
              <c:f>HistoricoAvance!$L$4:$L$10</c:f>
              <c:numCache>
                <c:formatCode>dd/mm/yyyy</c:formatCode>
                <c:ptCount val="7"/>
                <c:pt idx="0">
                  <c:v>41148</c:v>
                </c:pt>
                <c:pt idx="1">
                  <c:v>41150</c:v>
                </c:pt>
                <c:pt idx="2">
                  <c:v>41153</c:v>
                </c:pt>
                <c:pt idx="3">
                  <c:v>41170</c:v>
                </c:pt>
                <c:pt idx="4">
                  <c:v>41171</c:v>
                </c:pt>
                <c:pt idx="5">
                  <c:v>41179</c:v>
                </c:pt>
                <c:pt idx="6">
                  <c:v>41181</c:v>
                </c:pt>
              </c:numCache>
            </c:numRef>
          </c:cat>
          <c:val>
            <c:numRef>
              <c:f>HistoricoAvance!$N$4:$N$10</c:f>
              <c:numCache>
                <c:formatCode>0</c:formatCode>
                <c:ptCount val="7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13</c:v>
                </c:pt>
                <c:pt idx="4">
                  <c:v>13</c:v>
                </c:pt>
                <c:pt idx="5">
                  <c:v>13</c:v>
                </c:pt>
                <c:pt idx="6">
                  <c:v>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HistoricoAvance!$O$3</c:f>
              <c:strCache>
                <c:ptCount val="1"/>
                <c:pt idx="0">
                  <c:v>Totales</c:v>
                </c:pt>
              </c:strCache>
            </c:strRef>
          </c:tx>
          <c:cat>
            <c:numRef>
              <c:f>HistoricoAvance!$L$4:$L$10</c:f>
              <c:numCache>
                <c:formatCode>dd/mm/yyyy</c:formatCode>
                <c:ptCount val="7"/>
                <c:pt idx="0">
                  <c:v>41148</c:v>
                </c:pt>
                <c:pt idx="1">
                  <c:v>41150</c:v>
                </c:pt>
                <c:pt idx="2">
                  <c:v>41153</c:v>
                </c:pt>
                <c:pt idx="3">
                  <c:v>41170</c:v>
                </c:pt>
                <c:pt idx="4">
                  <c:v>41171</c:v>
                </c:pt>
                <c:pt idx="5">
                  <c:v>41179</c:v>
                </c:pt>
                <c:pt idx="6">
                  <c:v>41181</c:v>
                </c:pt>
              </c:numCache>
            </c:numRef>
          </c:cat>
          <c:val>
            <c:numRef>
              <c:f>HistoricoAvance!$O$4:$O$10</c:f>
              <c:numCache>
                <c:formatCode>General</c:formatCode>
                <c:ptCount val="7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13</c:v>
                </c:pt>
                <c:pt idx="4">
                  <c:v>15</c:v>
                </c:pt>
                <c:pt idx="5">
                  <c:v>19</c:v>
                </c:pt>
                <c:pt idx="6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198784"/>
        <c:axId val="112200320"/>
      </c:lineChart>
      <c:dateAx>
        <c:axId val="112198784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12200320"/>
        <c:crosses val="autoZero"/>
        <c:auto val="1"/>
        <c:lblOffset val="100"/>
        <c:baseTimeUnit val="days"/>
      </c:dateAx>
      <c:valAx>
        <c:axId val="11220032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1219878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ES"/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000000000000722" l="0.70000000000000062" r="0.70000000000000062" t="0.7500000000000072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[u910625_Matriz_de_Observaciones_v_7.3.xlsm]CuadrosResumen!Tabla dinámica1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</a:t>
            </a:r>
            <a:r>
              <a:rPr lang="en-US" baseline="0"/>
              <a:t> por Severidad</a:t>
            </a:r>
            <a:endParaRPr lang="en-US"/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CuadrosResumen!$C$70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CuadrosResumen!$B$71:$B$73</c:f>
              <c:strCache>
                <c:ptCount val="2"/>
                <c:pt idx="0">
                  <c:v>Severidad 3</c:v>
                </c:pt>
                <c:pt idx="1">
                  <c:v>Severidad 4</c:v>
                </c:pt>
              </c:strCache>
            </c:strRef>
          </c:cat>
          <c:val>
            <c:numRef>
              <c:f>CuadrosResumen!$C$71:$C$73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230784"/>
        <c:axId val="112232320"/>
      </c:barChart>
      <c:catAx>
        <c:axId val="11223078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12232320"/>
        <c:crosses val="autoZero"/>
        <c:auto val="1"/>
        <c:lblAlgn val="ctr"/>
        <c:lblOffset val="100"/>
        <c:noMultiLvlLbl val="0"/>
      </c:catAx>
      <c:valAx>
        <c:axId val="112232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12230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[u910625_Matriz_de_Observaciones_v_7.3.xlsm]CuadrosResumen!Tabla dinámica2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 por Prioridad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CuadrosResumen!$H$70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CuadrosResumen!$G$71:$G$72</c:f>
              <c:strCache>
                <c:ptCount val="1"/>
                <c:pt idx="0">
                  <c:v>Alta</c:v>
                </c:pt>
              </c:strCache>
            </c:strRef>
          </c:cat>
          <c:val>
            <c:numRef>
              <c:f>CuadrosResumen!$H$71:$H$72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256128"/>
        <c:axId val="112257664"/>
      </c:barChart>
      <c:catAx>
        <c:axId val="11225612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12257664"/>
        <c:crosses val="autoZero"/>
        <c:auto val="1"/>
        <c:lblAlgn val="ctr"/>
        <c:lblOffset val="100"/>
        <c:noMultiLvlLbl val="0"/>
      </c:catAx>
      <c:valAx>
        <c:axId val="112257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122561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[u910625_Matriz_de_Observaciones_v_7.3.xlsm]CuadrosResumen!Tabla dinámica3</c:name>
    <c:fmtId val="0"/>
  </c:pivotSource>
  <c:chart>
    <c:title>
      <c:overlay val="0"/>
      <c:txPr>
        <a:bodyPr/>
        <a:lstStyle/>
        <a:p>
          <a:pPr>
            <a:defRPr lang="es-ES"/>
          </a:pPr>
          <a:endParaRPr lang="es-PE"/>
        </a:p>
      </c:txPr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CuadrosResumen!$M$70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CuadrosResumen!$L$71:$L$72</c:f>
              <c:strCache>
                <c:ptCount val="1"/>
                <c:pt idx="0">
                  <c:v>Cerrada</c:v>
                </c:pt>
              </c:strCache>
            </c:strRef>
          </c:cat>
          <c:val>
            <c:numRef>
              <c:f>CuadrosResumen!$M$71:$M$72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400448"/>
        <c:axId val="113430912"/>
      </c:barChart>
      <c:catAx>
        <c:axId val="11340044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13430912"/>
        <c:crosses val="autoZero"/>
        <c:auto val="1"/>
        <c:lblAlgn val="ctr"/>
        <c:lblOffset val="100"/>
        <c:noMultiLvlLbl val="0"/>
      </c:catAx>
      <c:valAx>
        <c:axId val="113430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13400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[u910625_Matriz_de_Observaciones_v_7.3.xlsm]CuadrosResumen!Tabla dinámica5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 por Responsable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CuadrosResumen!$C$91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CuadrosResumen!$B$92:$B$93</c:f>
              <c:strCache>
                <c:ptCount val="1"/>
                <c:pt idx="0">
                  <c:v>(en blanco)</c:v>
                </c:pt>
              </c:strCache>
            </c:strRef>
          </c:cat>
          <c:val>
            <c:numRef>
              <c:f>CuadrosResumen!$C$92:$C$93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439488"/>
        <c:axId val="113441024"/>
      </c:barChart>
      <c:catAx>
        <c:axId val="11343948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13441024"/>
        <c:crosses val="autoZero"/>
        <c:auto val="1"/>
        <c:lblAlgn val="ctr"/>
        <c:lblOffset val="100"/>
        <c:noMultiLvlLbl val="0"/>
      </c:catAx>
      <c:valAx>
        <c:axId val="113441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134394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77" l="0.70000000000000062" r="0.70000000000000062" t="0.75000000000000677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[u910625_Matriz_de_Observaciones_v_7.3.xlsm]CuadrosResumen!Tabla dinámica6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s-ES"/>
              <a:t>Distribución por Prioridad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CuadrosResumen!$H$91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CuadrosResumen!$G$92:$G$93</c:f>
              <c:strCache>
                <c:ptCount val="1"/>
                <c:pt idx="0">
                  <c:v>#N/A</c:v>
                </c:pt>
              </c:strCache>
            </c:strRef>
          </c:cat>
          <c:val>
            <c:numRef>
              <c:f>CuadrosResumen!$H$92:$H$93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613440"/>
        <c:axId val="113619328"/>
      </c:barChart>
      <c:catAx>
        <c:axId val="11361344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13619328"/>
        <c:crosses val="autoZero"/>
        <c:auto val="1"/>
        <c:lblAlgn val="ctr"/>
        <c:lblOffset val="100"/>
        <c:noMultiLvlLbl val="0"/>
      </c:catAx>
      <c:valAx>
        <c:axId val="113619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136134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77" l="0.70000000000000062" r="0.70000000000000062" t="0.75000000000000677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[u910625_Matriz_de_Observaciones_v_7.3.xlsm]CuadrosResumen!Tabla dinámica7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</a:t>
            </a:r>
            <a:r>
              <a:rPr lang="en-US" baseline="0"/>
              <a:t> por Estado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CuadrosResumen!$M$91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CuadrosResumen!$L$92:$L$93</c:f>
              <c:strCache>
                <c:ptCount val="1"/>
                <c:pt idx="0">
                  <c:v>Cerrada</c:v>
                </c:pt>
              </c:strCache>
            </c:strRef>
          </c:cat>
          <c:val>
            <c:numRef>
              <c:f>CuadrosResumen!$M$92:$M$93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234496"/>
        <c:axId val="114236032"/>
      </c:barChart>
      <c:catAx>
        <c:axId val="11423449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14236032"/>
        <c:crosses val="autoZero"/>
        <c:auto val="1"/>
        <c:lblAlgn val="ctr"/>
        <c:lblOffset val="100"/>
        <c:noMultiLvlLbl val="0"/>
      </c:catAx>
      <c:valAx>
        <c:axId val="114236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142344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77" l="0.70000000000000062" r="0.70000000000000062" t="0.7500000000000067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355600</xdr:colOff>
      <xdr:row>1</xdr:row>
      <xdr:rowOff>25400</xdr:rowOff>
    </xdr:from>
    <xdr:to>
      <xdr:col>1</xdr:col>
      <xdr:colOff>457200</xdr:colOff>
      <xdr:row>5</xdr:row>
      <xdr:rowOff>135913</xdr:rowOff>
    </xdr:to>
    <xdr:pic>
      <xdr:nvPicPr>
        <xdr:cNvPr id="2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55600" y="101600"/>
          <a:ext cx="850900" cy="69471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1031326</xdr:colOff>
      <xdr:row>2</xdr:row>
      <xdr:rowOff>717176</xdr:rowOff>
    </xdr:to>
    <xdr:pic>
      <xdr:nvPicPr>
        <xdr:cNvPr id="2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031326" cy="10981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104775</xdr:rowOff>
        </xdr:from>
        <xdr:to>
          <xdr:col>5</xdr:col>
          <xdr:colOff>257175</xdr:colOff>
          <xdr:row>0</xdr:row>
          <xdr:rowOff>342900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Observaciones en la Iteración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38100</xdr:rowOff>
        </xdr:from>
        <xdr:to>
          <xdr:col>15</xdr:col>
          <xdr:colOff>752475</xdr:colOff>
          <xdr:row>0</xdr:row>
          <xdr:rowOff>276225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Nuevo Histórico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190499</xdr:rowOff>
    </xdr:from>
    <xdr:to>
      <xdr:col>8</xdr:col>
      <xdr:colOff>0</xdr:colOff>
      <xdr:row>20</xdr:row>
      <xdr:rowOff>47624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15</xdr:col>
      <xdr:colOff>523875</xdr:colOff>
      <xdr:row>20</xdr:row>
      <xdr:rowOff>57150</xdr:rowOff>
    </xdr:to>
    <xdr:graphicFrame macro="">
      <xdr:nvGraphicFramePr>
        <xdr:cNvPr id="5" name="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23</xdr:row>
      <xdr:rowOff>9525</xdr:rowOff>
    </xdr:from>
    <xdr:to>
      <xdr:col>16</xdr:col>
      <xdr:colOff>0</xdr:colOff>
      <xdr:row>42</xdr:row>
      <xdr:rowOff>9525</xdr:rowOff>
    </xdr:to>
    <xdr:graphicFrame macro="">
      <xdr:nvGraphicFramePr>
        <xdr:cNvPr id="6" name="5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45</xdr:row>
      <xdr:rowOff>0</xdr:rowOff>
    </xdr:from>
    <xdr:to>
      <xdr:col>16</xdr:col>
      <xdr:colOff>0</xdr:colOff>
      <xdr:row>64</xdr:row>
      <xdr:rowOff>0</xdr:rowOff>
    </xdr:to>
    <xdr:graphicFrame macro="">
      <xdr:nvGraphicFramePr>
        <xdr:cNvPr id="7" name="6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69</xdr:row>
      <xdr:rowOff>9524</xdr:rowOff>
    </xdr:from>
    <xdr:to>
      <xdr:col>5</xdr:col>
      <xdr:colOff>0</xdr:colOff>
      <xdr:row>84</xdr:row>
      <xdr:rowOff>190499</xdr:rowOff>
    </xdr:to>
    <xdr:graphicFrame macro="">
      <xdr:nvGraphicFramePr>
        <xdr:cNvPr id="8" name="7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68</xdr:row>
      <xdr:rowOff>190499</xdr:rowOff>
    </xdr:from>
    <xdr:to>
      <xdr:col>10</xdr:col>
      <xdr:colOff>466725</xdr:colOff>
      <xdr:row>84</xdr:row>
      <xdr:rowOff>180974</xdr:rowOff>
    </xdr:to>
    <xdr:graphicFrame macro="">
      <xdr:nvGraphicFramePr>
        <xdr:cNvPr id="9" name="8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68</xdr:row>
      <xdr:rowOff>190499</xdr:rowOff>
    </xdr:from>
    <xdr:to>
      <xdr:col>15</xdr:col>
      <xdr:colOff>200025</xdr:colOff>
      <xdr:row>84</xdr:row>
      <xdr:rowOff>180974</xdr:rowOff>
    </xdr:to>
    <xdr:graphicFrame macro="">
      <xdr:nvGraphicFramePr>
        <xdr:cNvPr id="10" name="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9525</xdr:colOff>
      <xdr:row>89</xdr:row>
      <xdr:rowOff>190499</xdr:rowOff>
    </xdr:from>
    <xdr:to>
      <xdr:col>4</xdr:col>
      <xdr:colOff>752475</xdr:colOff>
      <xdr:row>105</xdr:row>
      <xdr:rowOff>180974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0</xdr:colOff>
      <xdr:row>89</xdr:row>
      <xdr:rowOff>190499</xdr:rowOff>
    </xdr:from>
    <xdr:to>
      <xdr:col>10</xdr:col>
      <xdr:colOff>447675</xdr:colOff>
      <xdr:row>106</xdr:row>
      <xdr:rowOff>9524</xdr:rowOff>
    </xdr:to>
    <xdr:graphicFrame macro="">
      <xdr:nvGraphicFramePr>
        <xdr:cNvPr id="12" name="1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761999</xdr:colOff>
      <xdr:row>90</xdr:row>
      <xdr:rowOff>0</xdr:rowOff>
    </xdr:from>
    <xdr:to>
      <xdr:col>15</xdr:col>
      <xdr:colOff>180974</xdr:colOff>
      <xdr:row>106</xdr:row>
      <xdr:rowOff>19050</xdr:rowOff>
    </xdr:to>
    <xdr:graphicFrame macro="">
      <xdr:nvGraphicFramePr>
        <xdr:cNvPr id="13" name="1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oecastillom" refreshedDate="40637.721217708335" createdVersion="3" refreshedVersion="3" minRefreshableVersion="3" recordCount="1">
  <cacheSource type="worksheet">
    <worksheetSource name="Consultas[[#Todo],[Estado]]"/>
  </cacheSource>
  <cacheFields count="1">
    <cacheField name="Estado" numFmtId="0">
      <sharedItems count="2">
        <s v="Cerrada"/>
        <s v="Abiert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oecastillom" refreshedDate="40637.721217939812" createdVersion="3" refreshedVersion="3" minRefreshableVersion="3" recordCount="1">
  <cacheSource type="worksheet">
    <worksheetSource name="Consultas[[#Todo],[Prioridad]]"/>
  </cacheSource>
  <cacheFields count="1">
    <cacheField name="Prioridad" numFmtId="0">
      <sharedItems containsMixedTypes="1" containsNumber="1" containsInteger="1" minValue="0" maxValue="0" count="2">
        <e v="#N/A"/>
        <n v="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oecastillom" refreshedDate="40637.721218171297" createdVersion="3" refreshedVersion="3" minRefreshableVersion="3" recordCount="1">
  <cacheSource type="worksheet">
    <worksheetSource name="Consultas[[#Todo],[Responsable]]"/>
  </cacheSource>
  <cacheFields count="1">
    <cacheField name="Responsable" numFmtId="0">
      <sharedItems containsNonDate="0" containsBlank="1" count="5">
        <m/>
        <s v="Gestor Cliente" u="1"/>
        <s v="Proveedor" u="1"/>
        <s v="Redes TMP" u="1"/>
        <s v="Gestor Aplicacione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oecastillom" refreshedDate="40637.72121851852" createdVersion="3" refreshedVersion="3" minRefreshableVersion="3" recordCount="2">
  <cacheSource type="worksheet">
    <worksheetSource name="Observaciones[[#Todo],[Severidad]]"/>
  </cacheSource>
  <cacheFields count="1">
    <cacheField name="Severidad" numFmtId="0">
      <sharedItems containsBlank="1" count="5">
        <s v="Severidad 4"/>
        <s v="Severidad 3"/>
        <m u="1"/>
        <s v="Severidad 1" u="1"/>
        <s v="Severidad 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oecastillom" refreshedDate="40637.721218634259" createdVersion="3" refreshedVersion="3" minRefreshableVersion="3" recordCount="2">
  <cacheSource type="worksheet">
    <worksheetSource name="Observaciones[[#Todo],[Prioridad]]"/>
  </cacheSource>
  <cacheFields count="1">
    <cacheField name="Prioridad" numFmtId="0">
      <sharedItems count="4">
        <s v="Alta"/>
        <s v="Media" u="1"/>
        <s v="Baja" u="1"/>
        <e v="#N/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oecastillom" refreshedDate="40637.721218981482" createdVersion="3" refreshedVersion="3" minRefreshableVersion="3" recordCount="2">
  <cacheSource type="worksheet">
    <worksheetSource name="Observaciones[[#Todo],[Estado]]"/>
  </cacheSource>
  <cacheFields count="1">
    <cacheField name="Estado" numFmtId="0">
      <sharedItems containsBlank="1" count="4">
        <s v="Cerrada"/>
        <m u="1"/>
        <s v="Corregida" u="1"/>
        <s v="Abiert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">
  <r>
    <x v="0"/>
  </r>
  <r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">
  <r>
    <x v="0"/>
  </r>
  <r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">
  <r>
    <x v="0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6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G91:H93" firstHeaderRow="1" firstDataRow="1" firstDataCol="1"/>
  <pivotFields count="1">
    <pivotField axis="axisRow" dataField="1" showAll="0">
      <items count="3">
        <item m="1" x="1"/>
        <item x="0"/>
        <item t="default"/>
      </items>
    </pivotField>
  </pivotFields>
  <rowFields count="1">
    <field x="0"/>
  </rowFields>
  <rowItems count="2">
    <i>
      <x v="1"/>
    </i>
    <i t="grand">
      <x/>
    </i>
  </rowItems>
  <colItems count="1">
    <i/>
  </colItems>
  <dataFields count="1">
    <dataField name="Cuenta de Priorida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3" cacheId="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L70:M72" firstHeaderRow="1" firstDataRow="1" firstDataCol="1"/>
  <pivotFields count="1">
    <pivotField axis="axisRow" dataField="1" showAll="0">
      <items count="5">
        <item m="1" x="1"/>
        <item m="1" x="3"/>
        <item m="1" x="2"/>
        <item x="0"/>
        <item t="default"/>
      </items>
    </pivotField>
  </pivotFields>
  <rowFields count="1">
    <field x="0"/>
  </rowFields>
  <rowItems count="2">
    <i>
      <x v="3"/>
    </i>
    <i t="grand">
      <x/>
    </i>
  </rowItems>
  <colItems count="1">
    <i/>
  </colItems>
  <dataFields count="1">
    <dataField name="Cuenta de Estado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 dinámica5" cacheId="2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B91:C93" firstHeaderRow="1" firstDataRow="1" firstDataCol="1"/>
  <pivotFields count="1">
    <pivotField axis="axisRow" dataField="1" showAll="0">
      <items count="6">
        <item m="1" x="4"/>
        <item m="1" x="2"/>
        <item m="1" x="3"/>
        <item m="1" x="1"/>
        <item x="0"/>
        <item t="default"/>
      </items>
    </pivotField>
  </pivotFields>
  <rowFields count="1">
    <field x="0"/>
  </rowFields>
  <rowItems count="2">
    <i>
      <x v="4"/>
    </i>
    <i t="grand">
      <x/>
    </i>
  </rowItems>
  <colItems count="1">
    <i/>
  </colItems>
  <dataFields count="1">
    <dataField name="Cuenta de Responsable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B70:C73" firstHeaderRow="1" firstDataRow="1" firstDataCol="1"/>
  <pivotFields count="1">
    <pivotField axis="axisRow" dataField="1" showAll="0">
      <items count="6">
        <item m="1" x="3"/>
        <item m="1" x="4"/>
        <item x="1"/>
        <item x="0"/>
        <item m="1" x="2"/>
        <item t="default"/>
      </items>
    </pivotField>
  </pivotFields>
  <rowFields count="1">
    <field x="0"/>
  </rowFields>
  <rowItems count="3">
    <i>
      <x v="2"/>
    </i>
    <i>
      <x v="3"/>
    </i>
    <i t="grand">
      <x/>
    </i>
  </rowItems>
  <colItems count="1">
    <i/>
  </colItems>
  <dataFields count="1">
    <dataField name="Cuenta de Severida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la dinámica2" cacheId="4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G70:H72" firstHeaderRow="1" firstDataRow="1" firstDataCol="1"/>
  <pivotFields count="1">
    <pivotField axis="axisRow" dataField="1" showAll="0">
      <items count="5">
        <item x="0"/>
        <item m="1" x="1"/>
        <item m="1" x="2"/>
        <item m="1" x="3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Cuenta de Priorida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la dinámica7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L91:M93" firstHeaderRow="1" firstDataRow="1" firstDataCol="1"/>
  <pivotFields count="1">
    <pivotField axis="axisRow" dataField="1" showAll="0">
      <items count="3">
        <item m="1" x="1"/>
        <item x="0"/>
        <item t="default"/>
      </items>
    </pivotField>
  </pivotFields>
  <rowFields count="1">
    <field x="0"/>
  </rowFields>
  <rowItems count="2">
    <i>
      <x v="1"/>
    </i>
    <i t="grand">
      <x/>
    </i>
  </rowItems>
  <colItems count="1">
    <i/>
  </colItems>
  <dataFields count="1">
    <dataField name="Cuenta de Estado" fld="0" subtotal="count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CasoPrueba" displayName="CasoPrueba" ref="A4:Q11" totalsRowShown="0" headerRowDxfId="80" dataDxfId="78" headerRowBorderDxfId="79" tableBorderDxfId="77">
  <autoFilter ref="A4:Q11"/>
  <sortState ref="A5:Q14">
    <sortCondition ref="L4:L14"/>
  </sortState>
  <tableColumns count="17">
    <tableColumn id="1" name="Código de REQ" dataDxfId="76"/>
    <tableColumn id="2" name="Código Iteración" dataDxfId="75"/>
    <tableColumn id="3" name="Funcionalidad" dataDxfId="74"/>
    <tableColumn id="4" name="Descripción Caso de Prueba" dataDxfId="73"/>
    <tableColumn id="5" name="Resultado Esperado" dataDxfId="72"/>
    <tableColumn id="6" name="Resultado Real" dataDxfId="71">
      <calculatedColumnFormula>IF(CasoPrueba[[#This Row],[Estado Testing]]=Resumen!$P$29,"OK",IF(CasoPrueba[[#This Row],[Estado Testing]]=Resumen!$P$30,"NO OK",IF((CasoPrueba[[#This Row],[Estado Testing]]=Resumen!$P$31)+(CasoPrueba[[#This Row],[Estado Testing]]=Resumen!$P$32),"OBSERVADO","")))</calculatedColumnFormula>
    </tableColumn>
    <tableColumn id="7" name="Estado Testing" dataDxfId="70"/>
    <tableColumn id="8" name="Prioridad" dataDxfId="69"/>
    <tableColumn id="9" name="Severidad" dataDxfId="68">
      <calculatedColumnFormula>IF(CasoPrueba[[#This Row],[Prioridad]]="Baja", "Severidad 3", IF(CasoPrueba[[#This Row],[Prioridad]]="Media", "Severidad 2", IF(CasoPrueba[[#This Row],[Prioridad]]="Media", "Severidad 1")))</calculatedColumnFormula>
    </tableColumn>
    <tableColumn id="10" name="Estado Incidencia" dataDxfId="67"/>
    <tableColumn id="11" name="Reejecución" dataDxfId="66"/>
    <tableColumn id="12" name="Fecha Planificada" dataDxfId="65"/>
    <tableColumn id="13" name="Fecha Real" dataDxfId="64"/>
    <tableColumn id="14" name="Duración Caso de Prueba (horas / hombre)" dataDxfId="63"/>
    <tableColumn id="16" name="Pre-requisitos para la ejecución de la prueba" dataDxfId="62"/>
    <tableColumn id="17" name="Observaciones Pruebas Testing" dataDxfId="61"/>
    <tableColumn id="18" name="Revisión" dataDxfId="60">
      <calculatedColumnFormula>CONCATENATE(General!$B$7," ",General!$B$6)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Observaciones" displayName="Observaciones" ref="A2:L28" totalsRowShown="0" headerRowDxfId="59" dataDxfId="57" headerRowBorderDxfId="58" tableBorderDxfId="56">
  <autoFilter ref="A2:L28"/>
  <tableColumns count="12">
    <tableColumn id="1" name="Cod. Obs." dataDxfId="55"/>
    <tableColumn id="2" name="Código Iteración" dataDxfId="54"/>
    <tableColumn id="3" name="Prioridad" dataDxfId="53">
      <calculatedColumnFormula>VLOOKUP(Observaciones[Código Iteración],CasoPrueba[[#All],[Código Iteración]:[Prioridad]],7,TRUE)</calculatedColumnFormula>
    </tableColumn>
    <tableColumn id="4" name="Severidad" dataDxfId="52">
      <calculatedColumnFormula>IF(Observaciones[[#This Row],[Prioridad]]="Baja", "Severidad 3", IF(Observaciones[[#This Row],[Prioridad]]="Media", "Severidad 2", IF(Observaciones[[#This Row],[Prioridad]]="Media", "Severidad 1")))</calculatedColumnFormula>
    </tableColumn>
    <tableColumn id="5" name="Estado" dataDxfId="51"/>
    <tableColumn id="6" name="Fecha Detección" dataDxfId="50">
      <calculatedColumnFormula>VLOOKUP(Observaciones[Código Iteración],CasoPrueba[[#All],[Código Iteración]:[Fecha Real]],12,TRUE)</calculatedColumnFormula>
    </tableColumn>
    <tableColumn id="7" name="Fecha Levant." dataDxfId="49"/>
    <tableColumn id="8" name="Responsable" dataDxfId="48"/>
    <tableColumn id="9" name="Descripción" dataDxfId="47"/>
    <tableColumn id="10" name="Solución" dataDxfId="46"/>
    <tableColumn id="11" name="Tiempo de Solución (Dias)" dataDxfId="45">
      <calculatedColumnFormula>IF((Observaciones[[#This Row],[Fecha Levant.]]-Observaciones[[#This Row],[Fecha Detección]])&gt;=0,Observaciones[[#This Row],[Fecha Levant.]]-Observaciones[[#This Row],[Fecha Detección]]+1,0)</calculatedColumnFormula>
    </tableColumn>
    <tableColumn id="13" name="Cod. Req." dataDxfId="44">
      <calculatedColumnFormula>LOOKUP(Observaciones[[#This Row],[Código Iteración]],CasoPrueba[Código Iteración],CasoPrueba[Código de REQ])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7" name="Tabla7" displayName="Tabla7" ref="A2:G30" totalsRowShown="0" headerRowDxfId="43" dataDxfId="41" headerRowBorderDxfId="42" tableBorderDxfId="40" totalsRowBorderDxfId="39">
  <autoFilter ref="A2:G30"/>
  <tableColumns count="7">
    <tableColumn id="1" name="Cod. Obs." dataDxfId="38"/>
    <tableColumn id="7" name="Caso de Prueba" dataDxfId="37"/>
    <tableColumn id="2" name="Prioridad" dataDxfId="36"/>
    <tableColumn id="3" name="Severidad" dataDxfId="35">
      <calculatedColumnFormula>IF(Tabla7[[#This Row],[Prioridad]]="Baja", "Severidad 3", IF(Tabla7[[#This Row],[Prioridad]]="Media", "Severidad 2", IF(Tabla7[[#This Row],[Prioridad]]="Media", "Severidad 1")))</calculatedColumnFormula>
    </tableColumn>
    <tableColumn id="4" name="Fecha Detección" dataDxfId="34">
      <calculatedColumnFormula>VLOOKUP(Tabla7[[#This Row],[Caso de Prueba]],CasoPrueba[[#All],[Código Iteración]:[Fecha Real]],12,TRUE)</calculatedColumnFormula>
    </tableColumn>
    <tableColumn id="5" name="Descripción" dataDxfId="33"/>
    <tableColumn id="6" name="Tipo de Error" dataDxfId="32"/>
  </tableColumns>
  <tableStyleInfo name="TableStyleMedium23" showFirstColumn="0" showLastColumn="0" showRowStripes="1" showColumnStripes="0"/>
</table>
</file>

<file path=xl/tables/table4.xml><?xml version="1.0" encoding="utf-8"?>
<table xmlns="http://schemas.openxmlformats.org/spreadsheetml/2006/main" id="3" name="Consultas" displayName="Consultas" ref="A2:J3" totalsRowShown="0" headerRowDxfId="31" dataDxfId="30">
  <autoFilter ref="A2:J3"/>
  <tableColumns count="10">
    <tableColumn id="1" name="Cod. Cons." dataDxfId="29"/>
    <tableColumn id="2" name="Caso de Prueba" dataDxfId="28"/>
    <tableColumn id="3" name="Prioridad" dataDxfId="27">
      <calculatedColumnFormula>VLOOKUP(Consultas[[#This Row],[Caso de Prueba]],CasoPrueba[[#All],[Código Iteración]:[Prioridad]],7,TRUE)</calculatedColumnFormula>
    </tableColumn>
    <tableColumn id="4" name="Estado" dataDxfId="26"/>
    <tableColumn id="10" name="Responsable" dataDxfId="25"/>
    <tableColumn id="5" name="Fecha Solicitud" dataDxfId="24"/>
    <tableColumn id="6" name="Fecha Respuesta" dataDxfId="23"/>
    <tableColumn id="7" name="Descripción de la Consulta" dataDxfId="22"/>
    <tableColumn id="8" name="Respuesta del Responsable" dataDxfId="21"/>
    <tableColumn id="9" name="Tiempo de Solución" dataDxfId="20">
      <calculatedColumnFormula>IF((Consultas[[#This Row],[Fecha Respuesta]]-Consultas[[#This Row],[Fecha Solicitud]])&gt;=0,(Consultas[[#This Row],[Fecha Respuesta]]-Consultas[[#This Row],[Fecha Solicitud]])+1,0)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HistóricoEjecuciones" displayName="HistóricoEjecuciones" ref="B3:J10" totalsRowShown="0" headerRowDxfId="19" dataDxfId="17" headerRowBorderDxfId="18" tableBorderDxfId="16">
  <sortState ref="B11:G12">
    <sortCondition ref="C6:C8"/>
  </sortState>
  <tableColumns count="9">
    <tableColumn id="1" name="Fecha" dataDxfId="15"/>
    <tableColumn id="2" name="Aciertos" dataDxfId="14"/>
    <tableColumn id="3" name="Fallos" dataDxfId="13"/>
    <tableColumn id="4" name="Bloqueado" dataDxfId="12"/>
    <tableColumn id="7" name="Pendiente" dataDxfId="11"/>
    <tableColumn id="5" name="No Aplica" dataDxfId="10"/>
    <tableColumn id="8" name="En Proceso" dataDxfId="9"/>
    <tableColumn id="9" name="Reejecuciones" dataDxfId="8"/>
    <tableColumn id="6" name="Totales" dataDxfId="7">
      <calculatedColumnFormula>SUM(HistóricoEjecuciones[[#This Row],[Aciertos]:[En Proceso]])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HistoricoIncidencias" displayName="HistoricoIncidencias" ref="L3:O10" totalsRowShown="0" headerRowDxfId="6" headerRowBorderDxfId="5" tableBorderDxfId="4">
  <tableColumns count="4">
    <tableColumn id="1" name="Fecha" dataDxfId="3"/>
    <tableColumn id="2" name="Abiertas" dataDxfId="2"/>
    <tableColumn id="4" name="Cerradas" dataDxfId="1"/>
    <tableColumn id="5" name="Totales" dataDxfId="0">
      <calculatedColumnFormula>SUM(HistoricoIncidencias[[#This Row],[Abiertas]:[Cerradas]])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FB11"/>
  <sheetViews>
    <sheetView workbookViewId="0">
      <selection activeCell="D7" sqref="D7"/>
    </sheetView>
  </sheetViews>
  <sheetFormatPr baseColWidth="10" defaultColWidth="0" defaultRowHeight="15" zeroHeight="1"/>
  <cols>
    <col min="1" max="4" width="39.7109375" style="4" customWidth="1"/>
    <col min="5" max="16381" width="11.42578125" style="4" hidden="1"/>
    <col min="16382" max="16382" width="23" style="4" hidden="1"/>
    <col min="16383" max="16384" width="19.28515625" style="4" hidden="1"/>
  </cols>
  <sheetData>
    <row r="1" spans="1:4 16382:16382" ht="27" thickBot="1">
      <c r="A1" s="195" t="s">
        <v>167</v>
      </c>
      <c r="B1" s="196"/>
      <c r="C1" s="196"/>
      <c r="D1" s="196"/>
      <c r="XFB1" s="4" t="s">
        <v>130</v>
      </c>
    </row>
    <row r="2" spans="1:4 16382:16382" ht="19.5" customHeight="1">
      <c r="A2" s="197" t="s">
        <v>0</v>
      </c>
      <c r="B2" s="197"/>
      <c r="C2" s="197"/>
      <c r="D2" s="197"/>
      <c r="XFB2" s="4" t="s">
        <v>131</v>
      </c>
    </row>
    <row r="3" spans="1:4 16382:16382" ht="19.5" customHeight="1">
      <c r="A3" s="91" t="s">
        <v>134</v>
      </c>
      <c r="B3" s="94" t="s">
        <v>156</v>
      </c>
      <c r="C3" s="91" t="s">
        <v>158</v>
      </c>
      <c r="D3" s="95" t="s">
        <v>133</v>
      </c>
      <c r="XFB3" s="4" t="s">
        <v>132</v>
      </c>
    </row>
    <row r="4" spans="1:4 16382:16382" ht="19.5" customHeight="1">
      <c r="A4" s="92" t="s">
        <v>135</v>
      </c>
      <c r="B4" s="198" t="s">
        <v>157</v>
      </c>
      <c r="C4" s="198"/>
      <c r="D4" s="198"/>
      <c r="XFB4" s="4" t="s">
        <v>133</v>
      </c>
    </row>
    <row r="5" spans="1:4 16382:16382" ht="47.25" customHeight="1">
      <c r="A5" s="91" t="s">
        <v>1</v>
      </c>
      <c r="B5" s="199" t="s">
        <v>221</v>
      </c>
      <c r="C5" s="200"/>
      <c r="D5" s="201"/>
    </row>
    <row r="6" spans="1:4 16382:16382" ht="19.5" customHeight="1">
      <c r="A6" s="91" t="s">
        <v>143</v>
      </c>
      <c r="B6" s="96" t="s">
        <v>220</v>
      </c>
      <c r="C6" s="91" t="s">
        <v>2</v>
      </c>
      <c r="D6" s="1" t="s">
        <v>155</v>
      </c>
    </row>
    <row r="7" spans="1:4 16382:16382" ht="19.5" customHeight="1">
      <c r="A7" s="91" t="s">
        <v>144</v>
      </c>
      <c r="B7" s="94" t="s">
        <v>166</v>
      </c>
      <c r="C7" s="91" t="s">
        <v>136</v>
      </c>
      <c r="D7" s="2" t="s">
        <v>168</v>
      </c>
    </row>
    <row r="8" spans="1:4 16382:16382" ht="19.5" customHeight="1">
      <c r="A8" s="202" t="s">
        <v>200</v>
      </c>
      <c r="B8" s="202"/>
      <c r="C8" s="202" t="s">
        <v>201</v>
      </c>
      <c r="D8" s="202"/>
    </row>
    <row r="9" spans="1:4 16382:16382" ht="19.5" customHeight="1">
      <c r="A9" s="93" t="s">
        <v>3</v>
      </c>
      <c r="B9" s="93" t="s">
        <v>4</v>
      </c>
      <c r="C9" s="93" t="s">
        <v>3</v>
      </c>
      <c r="D9" s="93" t="s">
        <v>4</v>
      </c>
    </row>
    <row r="10" spans="1:4 16382:16382" ht="19.5" customHeight="1">
      <c r="A10" s="97">
        <v>41147</v>
      </c>
      <c r="B10" s="3">
        <v>41230</v>
      </c>
      <c r="C10" s="3" t="s">
        <v>202</v>
      </c>
      <c r="D10" s="3" t="s">
        <v>202</v>
      </c>
    </row>
    <row r="11" spans="1:4 16382:16382" hidden="1"/>
  </sheetData>
  <mergeCells count="6">
    <mergeCell ref="A1:D1"/>
    <mergeCell ref="A2:D2"/>
    <mergeCell ref="B4:D4"/>
    <mergeCell ref="B5:D5"/>
    <mergeCell ref="A8:B8"/>
    <mergeCell ref="C8:D8"/>
  </mergeCells>
  <dataValidations count="1">
    <dataValidation type="list" allowBlank="1" showInputMessage="1" showErrorMessage="1" sqref="D3">
      <formula1>$XFB$1:$XFB$4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R39"/>
  <sheetViews>
    <sheetView zoomScale="85" zoomScaleNormal="85" workbookViewId="0">
      <pane ySplit="7" topLeftCell="A8" activePane="bottomLeft" state="frozen"/>
      <selection sqref="A1:R1"/>
      <selection pane="bottomLeft" activeCell="C10" sqref="C10"/>
    </sheetView>
  </sheetViews>
  <sheetFormatPr baseColWidth="10" defaultColWidth="0" defaultRowHeight="15" zeroHeight="1"/>
  <cols>
    <col min="1" max="1" width="11.28515625" style="4" customWidth="1"/>
    <col min="2" max="2" width="16.85546875" style="4" customWidth="1"/>
    <col min="3" max="3" width="11.42578125" style="4" customWidth="1"/>
    <col min="4" max="4" width="15.5703125" style="4" bestFit="1" customWidth="1"/>
    <col min="5" max="5" width="7.7109375" style="4" bestFit="1" customWidth="1"/>
    <col min="6" max="6" width="10.5703125" style="4" bestFit="1" customWidth="1"/>
    <col min="7" max="7" width="11" style="4" bestFit="1" customWidth="1"/>
    <col min="8" max="8" width="13.140625" style="4" bestFit="1" customWidth="1"/>
    <col min="9" max="10" width="11.42578125" style="4" customWidth="1"/>
    <col min="11" max="11" width="13.28515625" style="4" customWidth="1"/>
    <col min="12" max="12" width="8.5703125" style="4" customWidth="1"/>
    <col min="13" max="13" width="5.85546875" style="4" customWidth="1"/>
    <col min="14" max="14" width="6.5703125" style="4" customWidth="1"/>
    <col min="15" max="15" width="6.42578125" style="4" customWidth="1"/>
    <col min="16" max="16" width="20" style="4" hidden="1" customWidth="1"/>
    <col min="17" max="17" width="37.7109375" style="4" hidden="1" customWidth="1"/>
    <col min="18" max="18" width="5.85546875" style="4" customWidth="1"/>
    <col min="19" max="16384" width="11.42578125" style="4" hidden="1"/>
  </cols>
  <sheetData>
    <row r="1" spans="1:18" ht="6" customHeight="1">
      <c r="A1" s="65"/>
      <c r="B1" s="65"/>
      <c r="C1" s="65"/>
      <c r="F1" s="65"/>
      <c r="P1" s="65"/>
      <c r="Q1" s="65"/>
      <c r="R1" s="65"/>
    </row>
    <row r="2" spans="1:18">
      <c r="A2" s="65"/>
      <c r="B2" s="65"/>
      <c r="C2" s="115" t="s">
        <v>5</v>
      </c>
      <c r="D2" s="114" t="str">
        <f>General!$B$3</f>
        <v>1 - SEOV</v>
      </c>
      <c r="E2" s="65"/>
      <c r="F2" s="115" t="s">
        <v>6</v>
      </c>
      <c r="G2" s="204" t="str">
        <f>General!$B$4</f>
        <v>Sistema Experto de Orientación Profesional</v>
      </c>
      <c r="H2" s="204"/>
      <c r="I2" s="204"/>
      <c r="J2" s="204"/>
      <c r="K2" s="204"/>
      <c r="L2" s="204"/>
      <c r="M2" s="204"/>
      <c r="N2" s="204"/>
      <c r="O2" s="204"/>
      <c r="P2" s="65"/>
      <c r="Q2" s="65"/>
      <c r="R2" s="65"/>
    </row>
    <row r="3" spans="1:18" ht="6" customHeight="1">
      <c r="A3" s="65"/>
      <c r="B3" s="65"/>
      <c r="C3" s="116"/>
      <c r="E3" s="65"/>
      <c r="F3" s="116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</row>
    <row r="4" spans="1:18" ht="18.75">
      <c r="A4" s="65"/>
      <c r="B4" s="65"/>
      <c r="C4" s="115" t="s">
        <v>7</v>
      </c>
      <c r="D4" s="117">
        <f>$E$14+$I$14</f>
        <v>0.5714285714285714</v>
      </c>
      <c r="E4" s="116"/>
      <c r="F4" s="115" t="s">
        <v>8</v>
      </c>
      <c r="G4" s="205" t="str">
        <f>IF(SUM($C$31:$C$32)&gt;0,P38,IF((SUM($C$31:$C$32)=0)*(SUM($C$33:$C$34)),$P$37,IF($C$35=0,$P$36,$P$36)))</f>
        <v>SATISFACTORIO</v>
      </c>
      <c r="H4" s="205"/>
      <c r="I4" s="205"/>
      <c r="J4" s="205"/>
      <c r="K4" s="205"/>
      <c r="L4" s="205"/>
      <c r="M4" s="205"/>
      <c r="N4" s="205"/>
      <c r="O4" s="205"/>
      <c r="P4" s="65"/>
      <c r="Q4" s="65"/>
      <c r="R4" s="65"/>
    </row>
    <row r="5" spans="1:18" ht="6" customHeight="1">
      <c r="A5" s="65"/>
      <c r="B5" s="65"/>
      <c r="C5" s="115"/>
      <c r="D5" s="118"/>
      <c r="E5" s="115"/>
      <c r="F5" s="119"/>
      <c r="G5" s="70"/>
      <c r="H5" s="70"/>
      <c r="I5" s="70"/>
      <c r="J5" s="70"/>
      <c r="K5" s="70"/>
      <c r="L5" s="70"/>
      <c r="M5" s="70"/>
      <c r="N5" s="70"/>
      <c r="O5" s="70"/>
      <c r="P5" s="65"/>
      <c r="Q5" s="65"/>
      <c r="R5" s="65"/>
    </row>
    <row r="6" spans="1:18" ht="18.75">
      <c r="A6" s="65"/>
      <c r="B6" s="65"/>
      <c r="C6" s="115" t="s">
        <v>9</v>
      </c>
      <c r="D6" s="117">
        <f>$C$11/$C$10</f>
        <v>0.7142857142857143</v>
      </c>
      <c r="E6" s="116"/>
      <c r="F6" s="116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</row>
    <row r="7" spans="1:18" ht="4.5" customHeight="1">
      <c r="A7" s="65"/>
      <c r="B7" s="65"/>
      <c r="C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</row>
    <row r="8" spans="1:18" ht="23.25">
      <c r="A8" s="66" t="s">
        <v>10</v>
      </c>
      <c r="B8" s="65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</row>
    <row r="9" spans="1:18" ht="4.5" customHeight="1" thickBot="1">
      <c r="A9" s="65"/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</row>
    <row r="10" spans="1:18" ht="15.75" thickBot="1">
      <c r="A10" s="65"/>
      <c r="B10" s="113" t="s">
        <v>11</v>
      </c>
      <c r="C10" s="9">
        <f>ROWS(CasoPrueba[])</f>
        <v>7</v>
      </c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73" t="s">
        <v>28</v>
      </c>
      <c r="Q10" s="11" t="s">
        <v>1</v>
      </c>
      <c r="R10" s="65"/>
    </row>
    <row r="11" spans="1:18" ht="15.75" thickBot="1">
      <c r="A11" s="65"/>
      <c r="B11" s="113" t="s">
        <v>12</v>
      </c>
      <c r="C11" s="9">
        <f>$C$10-$C$12</f>
        <v>5</v>
      </c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74" t="s">
        <v>24</v>
      </c>
      <c r="Q11" s="12" t="s">
        <v>30</v>
      </c>
      <c r="R11" s="65"/>
    </row>
    <row r="12" spans="1:18" ht="30.75" thickBot="1">
      <c r="A12" s="65"/>
      <c r="B12" s="113" t="s">
        <v>14</v>
      </c>
      <c r="C12" s="9">
        <f>COUNTIF(CasoPrueba[[#All],[Estado Testing]],$P$28)</f>
        <v>2</v>
      </c>
      <c r="D12" s="65"/>
      <c r="E12" s="78" t="s">
        <v>15</v>
      </c>
      <c r="F12" s="79" t="s">
        <v>16</v>
      </c>
      <c r="G12" s="123" t="s">
        <v>17</v>
      </c>
      <c r="H12" s="124" t="s">
        <v>18</v>
      </c>
      <c r="I12" s="120" t="s">
        <v>19</v>
      </c>
      <c r="J12" s="121" t="s">
        <v>20</v>
      </c>
      <c r="K12" s="122" t="s">
        <v>126</v>
      </c>
      <c r="L12" s="67"/>
      <c r="M12" s="65"/>
      <c r="N12" s="65"/>
      <c r="O12" s="65"/>
      <c r="P12" s="75" t="s">
        <v>25</v>
      </c>
      <c r="Q12" s="13" t="s">
        <v>32</v>
      </c>
      <c r="R12" s="65"/>
    </row>
    <row r="13" spans="1:18" ht="30.75" thickBot="1">
      <c r="A13" s="65"/>
      <c r="B13" s="113" t="s">
        <v>109</v>
      </c>
      <c r="C13" s="9">
        <f>COUNTIF(CasoPrueba[[#All],[Estado Testing]],$P$30)</f>
        <v>0</v>
      </c>
      <c r="D13" s="65"/>
      <c r="E13" s="5">
        <f>COUNTIF(CasoPrueba[[#All],[Estado Testing]],$P$29)</f>
        <v>4</v>
      </c>
      <c r="F13" s="5">
        <f>COUNTIF(CasoPrueba[[#All],[Estado Testing]],$P$30)</f>
        <v>0</v>
      </c>
      <c r="G13" s="5">
        <f>COUNTIF(CasoPrueba[[#All],[Estado Testing]],$P$31)</f>
        <v>0</v>
      </c>
      <c r="H13" s="5">
        <f>COUNTIF(CasoPrueba[[#All],[Estado Testing]],$P$28)</f>
        <v>2</v>
      </c>
      <c r="I13" s="5">
        <f>COUNTIF(CasoPrueba[[#All],[Estado Testing]],$P$32)</f>
        <v>0</v>
      </c>
      <c r="J13" s="5">
        <f>COUNTIF(CasoPrueba[[#All],[Estado Testing]],$P$33)</f>
        <v>1</v>
      </c>
      <c r="K13" s="5">
        <f>SUM(CasoPrueba[[#All],[Reejecución]])</f>
        <v>0</v>
      </c>
      <c r="L13" s="68"/>
      <c r="M13" s="65"/>
      <c r="N13" s="65"/>
      <c r="O13" s="65"/>
      <c r="P13" s="76" t="s">
        <v>26</v>
      </c>
      <c r="Q13" s="14" t="s">
        <v>34</v>
      </c>
      <c r="R13" s="65"/>
    </row>
    <row r="14" spans="1:18" ht="15.75" thickBot="1">
      <c r="A14" s="65"/>
      <c r="B14" s="113" t="s">
        <v>13</v>
      </c>
      <c r="C14" s="9">
        <f>COUNTIF(CasoPrueba[[#All],[Estado Testing]],$P$31)</f>
        <v>0</v>
      </c>
      <c r="D14" s="65"/>
      <c r="E14" s="15">
        <f t="shared" ref="E14:J14" si="0">E13/$C$10</f>
        <v>0.5714285714285714</v>
      </c>
      <c r="F14" s="15">
        <f t="shared" si="0"/>
        <v>0</v>
      </c>
      <c r="G14" s="15">
        <f t="shared" si="0"/>
        <v>0</v>
      </c>
      <c r="H14" s="15">
        <f t="shared" si="0"/>
        <v>0.2857142857142857</v>
      </c>
      <c r="I14" s="15">
        <f t="shared" si="0"/>
        <v>0</v>
      </c>
      <c r="J14" s="15">
        <f t="shared" si="0"/>
        <v>0.14285714285714285</v>
      </c>
      <c r="K14" s="15">
        <f>K13/C10</f>
        <v>0</v>
      </c>
      <c r="L14" s="69"/>
      <c r="M14" s="65"/>
      <c r="N14" s="65"/>
      <c r="O14" s="65"/>
      <c r="P14" s="77" t="s">
        <v>151</v>
      </c>
      <c r="Q14" s="16" t="s">
        <v>36</v>
      </c>
      <c r="R14" s="65"/>
    </row>
    <row r="15" spans="1:18">
      <c r="A15" s="65"/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</row>
    <row r="16" spans="1:18" hidden="1">
      <c r="A16" s="65"/>
      <c r="B16" s="65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</row>
    <row r="17" spans="1:18" ht="15.75" hidden="1" thickBot="1">
      <c r="A17" s="65"/>
      <c r="B17" s="206" t="s">
        <v>21</v>
      </c>
      <c r="C17" s="207" t="s">
        <v>15</v>
      </c>
      <c r="D17" s="207"/>
      <c r="E17" s="208" t="s">
        <v>16</v>
      </c>
      <c r="F17" s="208"/>
      <c r="G17" s="209" t="s">
        <v>17</v>
      </c>
      <c r="H17" s="209"/>
      <c r="I17" s="210" t="s">
        <v>18</v>
      </c>
      <c r="J17" s="211"/>
      <c r="K17" s="214" t="s">
        <v>19</v>
      </c>
      <c r="L17" s="215"/>
      <c r="M17" s="212" t="s">
        <v>20</v>
      </c>
      <c r="N17" s="213"/>
      <c r="O17" s="65"/>
      <c r="P17" s="10" t="s">
        <v>37</v>
      </c>
      <c r="Q17" s="11" t="s">
        <v>38</v>
      </c>
      <c r="R17" s="65"/>
    </row>
    <row r="18" spans="1:18" ht="15.75" hidden="1" thickBot="1">
      <c r="A18" s="65"/>
      <c r="B18" s="206"/>
      <c r="C18" s="49" t="s">
        <v>22</v>
      </c>
      <c r="D18" s="49" t="s">
        <v>23</v>
      </c>
      <c r="E18" s="50" t="s">
        <v>22</v>
      </c>
      <c r="F18" s="50" t="s">
        <v>23</v>
      </c>
      <c r="G18" s="51" t="s">
        <v>22</v>
      </c>
      <c r="H18" s="51" t="s">
        <v>23</v>
      </c>
      <c r="I18" s="52" t="s">
        <v>22</v>
      </c>
      <c r="J18" s="52" t="s">
        <v>23</v>
      </c>
      <c r="K18" s="53" t="s">
        <v>22</v>
      </c>
      <c r="L18" s="53" t="s">
        <v>23</v>
      </c>
      <c r="M18" s="54" t="s">
        <v>22</v>
      </c>
      <c r="N18" s="54" t="s">
        <v>23</v>
      </c>
      <c r="O18" s="65"/>
      <c r="P18" s="17" t="s">
        <v>24</v>
      </c>
      <c r="Q18" s="18" t="s">
        <v>39</v>
      </c>
      <c r="R18" s="65"/>
    </row>
    <row r="19" spans="1:18" ht="15.75" hidden="1" thickBot="1">
      <c r="A19" s="65"/>
      <c r="B19" s="36" t="s">
        <v>24</v>
      </c>
      <c r="C19" s="37">
        <f>COUNTIFS(CasoPrueba[[#All],[Estado Testing]],$P$29,CasoPrueba[[#All],[Prioridad]],$P$18)</f>
        <v>0</v>
      </c>
      <c r="D19" s="38">
        <f>C19/$C$10</f>
        <v>0</v>
      </c>
      <c r="E19" s="39">
        <f>COUNTIFS(CasoPrueba[[#All],[Estado Testing]],$P$30,CasoPrueba[[#All],[Prioridad]],$P$18)</f>
        <v>0</v>
      </c>
      <c r="F19" s="40">
        <f>E19/$C$10</f>
        <v>0</v>
      </c>
      <c r="G19" s="41">
        <f>COUNTIFS(CasoPrueba[[#All],[Estado Testing]],$P$31,CasoPrueba[[#All],[Prioridad]],$P$18)</f>
        <v>0</v>
      </c>
      <c r="H19" s="42">
        <f>G19/$C$10</f>
        <v>0</v>
      </c>
      <c r="I19" s="43">
        <f>COUNTIFS(CasoPrueba[[#All],[Estado Testing]],$P$28,CasoPrueba[[#All],[Prioridad]],$P$18)</f>
        <v>0</v>
      </c>
      <c r="J19" s="44">
        <f>I19/$C$10</f>
        <v>0</v>
      </c>
      <c r="K19" s="45">
        <f>COUNTIFS(CasoPrueba[[#All],[Estado Testing]],$P$32,CasoPrueba[[#All],[Prioridad]],$P$18)</f>
        <v>0</v>
      </c>
      <c r="L19" s="47">
        <f>K19/$C$10</f>
        <v>0</v>
      </c>
      <c r="M19" s="48">
        <f>COUNTIFS(CasoPrueba[[#All],[Estado Testing]],$P$30,CasoPrueba[[#All],[Prioridad]],$P$18)</f>
        <v>0</v>
      </c>
      <c r="N19" s="46">
        <f>M19/$C$10</f>
        <v>0</v>
      </c>
      <c r="O19" s="65"/>
      <c r="P19" s="19" t="s">
        <v>25</v>
      </c>
      <c r="Q19" s="20" t="s">
        <v>40</v>
      </c>
      <c r="R19" s="65"/>
    </row>
    <row r="20" spans="1:18" ht="15.75" hidden="1" thickBot="1">
      <c r="A20" s="65"/>
      <c r="B20" s="36" t="s">
        <v>25</v>
      </c>
      <c r="C20" s="37">
        <f>COUNTIFS(CasoPrueba[[#All],[Estado Testing]],$P$29,CasoPrueba[[#All],[Prioridad]],$P$19)</f>
        <v>1</v>
      </c>
      <c r="D20" s="38">
        <f t="shared" ref="D20:F21" si="1">C20/$C$10</f>
        <v>0.14285714285714285</v>
      </c>
      <c r="E20" s="39">
        <f>COUNTIFS(CasoPrueba[[#All],[Estado Testing]],$P$30,CasoPrueba[[#All],[Prioridad]],$P$19)</f>
        <v>0</v>
      </c>
      <c r="F20" s="40">
        <f t="shared" si="1"/>
        <v>0</v>
      </c>
      <c r="G20" s="41">
        <f>COUNTIFS(CasoPrueba[[#All],[Estado Testing]],$P$31,CasoPrueba[[#All],[Prioridad]],$P$19)</f>
        <v>0</v>
      </c>
      <c r="H20" s="42">
        <f>G20/$C$10</f>
        <v>0</v>
      </c>
      <c r="I20" s="43">
        <f>COUNTIFS(CasoPrueba[[#All],[Estado Testing]],$P$28,CasoPrueba[[#All],[Prioridad]],$P$19)</f>
        <v>1</v>
      </c>
      <c r="J20" s="44">
        <f>I20/$C$10</f>
        <v>0.14285714285714285</v>
      </c>
      <c r="K20" s="45">
        <f>COUNTIFS(CasoPrueba[[#All],[Estado Testing]],$P$32,CasoPrueba[[#All],[Prioridad]],$P$19)</f>
        <v>0</v>
      </c>
      <c r="L20" s="47">
        <f>K20/$C$10</f>
        <v>0</v>
      </c>
      <c r="M20" s="48">
        <f>COUNTIFS(CasoPrueba[[#All],[Estado Testing]],$P$30,CasoPrueba[[#All],[Prioridad]],$P$19)</f>
        <v>0</v>
      </c>
      <c r="N20" s="46">
        <f>M20/$C$10</f>
        <v>0</v>
      </c>
      <c r="O20" s="65"/>
      <c r="P20" s="21" t="s">
        <v>26</v>
      </c>
      <c r="Q20" s="20" t="s">
        <v>41</v>
      </c>
      <c r="R20" s="65"/>
    </row>
    <row r="21" spans="1:18" hidden="1">
      <c r="A21" s="65"/>
      <c r="B21" s="36" t="s">
        <v>26</v>
      </c>
      <c r="C21" s="37">
        <f>COUNTIFS(CasoPrueba[[#All],[Estado Testing]],$P$29,CasoPrueba[[#All],[Prioridad]],$P$20)</f>
        <v>3</v>
      </c>
      <c r="D21" s="38">
        <f t="shared" si="1"/>
        <v>0.42857142857142855</v>
      </c>
      <c r="E21" s="39">
        <f>COUNTIFS(CasoPrueba[[#All],[Estado Testing]],$P$30,CasoPrueba[[#All],[Prioridad]],$P$20)</f>
        <v>0</v>
      </c>
      <c r="F21" s="40">
        <f t="shared" si="1"/>
        <v>0</v>
      </c>
      <c r="G21" s="41">
        <f>COUNTIFS(CasoPrueba[[#All],[Estado Testing]],$P$31,CasoPrueba[[#All],[Prioridad]],$P$20)</f>
        <v>0</v>
      </c>
      <c r="H21" s="42">
        <f>G21/$C$10</f>
        <v>0</v>
      </c>
      <c r="I21" s="43">
        <f>COUNTIFS(CasoPrueba[[#All],[Estado Testing]],$P$28,CasoPrueba[[#All],[Prioridad]],$P$20)</f>
        <v>1</v>
      </c>
      <c r="J21" s="44">
        <f>I21/$C$10</f>
        <v>0.14285714285714285</v>
      </c>
      <c r="K21" s="45">
        <f>COUNTIFS(CasoPrueba[[#All],[Estado Testing]],$P$32,CasoPrueba[[#All],[Prioridad]],$P$20)</f>
        <v>0</v>
      </c>
      <c r="L21" s="47">
        <f>K21/$C$10</f>
        <v>0</v>
      </c>
      <c r="M21" s="48">
        <f>COUNTIFS(CasoPrueba[[#All],[Estado Testing]],$P$30,CasoPrueba[[#All],[Prioridad]],$P$20)</f>
        <v>0</v>
      </c>
      <c r="N21" s="46">
        <f>M21/$C$10</f>
        <v>0</v>
      </c>
      <c r="O21" s="65"/>
      <c r="P21" s="65"/>
      <c r="Q21" s="65"/>
      <c r="R21" s="65"/>
    </row>
    <row r="22" spans="1:18" ht="15.75" hidden="1" thickBot="1">
      <c r="A22" s="65"/>
      <c r="B22" s="55" t="s">
        <v>27</v>
      </c>
      <c r="C22" s="55">
        <f>SUM(C19:C21)</f>
        <v>4</v>
      </c>
      <c r="D22" s="56">
        <f t="shared" ref="D22:N22" si="2">SUM(D19:D21)</f>
        <v>0.5714285714285714</v>
      </c>
      <c r="E22" s="55">
        <f t="shared" si="2"/>
        <v>0</v>
      </c>
      <c r="F22" s="56">
        <f t="shared" si="2"/>
        <v>0</v>
      </c>
      <c r="G22" s="55">
        <f t="shared" si="2"/>
        <v>0</v>
      </c>
      <c r="H22" s="56">
        <f t="shared" si="2"/>
        <v>0</v>
      </c>
      <c r="I22" s="55">
        <f t="shared" si="2"/>
        <v>2</v>
      </c>
      <c r="J22" s="56">
        <f t="shared" si="2"/>
        <v>0.2857142857142857</v>
      </c>
      <c r="K22" s="55">
        <f>SUM(K19:K21)</f>
        <v>0</v>
      </c>
      <c r="L22" s="56">
        <f>SUM(L19:L21)</f>
        <v>0</v>
      </c>
      <c r="M22" s="55">
        <f t="shared" si="2"/>
        <v>0</v>
      </c>
      <c r="N22" s="56">
        <f t="shared" si="2"/>
        <v>0</v>
      </c>
      <c r="O22" s="65"/>
      <c r="P22" s="10" t="s">
        <v>42</v>
      </c>
      <c r="Q22" s="11" t="s">
        <v>1</v>
      </c>
      <c r="R22" s="65"/>
    </row>
    <row r="23" spans="1:18" ht="15.75" hidden="1" thickBot="1">
      <c r="A23" s="65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17" t="s">
        <v>43</v>
      </c>
      <c r="Q23" s="24" t="s">
        <v>47</v>
      </c>
      <c r="R23" s="65"/>
    </row>
    <row r="24" spans="1:18" ht="30.75" hidden="1" thickBot="1">
      <c r="A24" s="65"/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22" t="s">
        <v>44</v>
      </c>
      <c r="Q24" s="25" t="s">
        <v>46</v>
      </c>
      <c r="R24" s="65"/>
    </row>
    <row r="25" spans="1:18" ht="15.75" hidden="1" thickBot="1">
      <c r="A25" s="65"/>
      <c r="B25" s="65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23" t="s">
        <v>45</v>
      </c>
      <c r="Q25" s="25" t="s">
        <v>48</v>
      </c>
      <c r="R25" s="65"/>
    </row>
    <row r="26" spans="1:18" hidden="1">
      <c r="A26" s="65"/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</row>
    <row r="27" spans="1:18" ht="24" hidden="1" thickBot="1">
      <c r="A27" s="100" t="s">
        <v>64</v>
      </c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65"/>
      <c r="N27" s="65"/>
      <c r="O27" s="65"/>
      <c r="P27" s="6" t="s">
        <v>49</v>
      </c>
      <c r="Q27" s="7" t="s">
        <v>50</v>
      </c>
      <c r="R27" s="65"/>
    </row>
    <row r="28" spans="1:18" ht="15.75" hidden="1" thickBot="1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65"/>
      <c r="N28" s="65"/>
      <c r="O28" s="65"/>
      <c r="P28" s="90" t="s">
        <v>18</v>
      </c>
      <c r="Q28" s="8" t="s">
        <v>62</v>
      </c>
      <c r="R28" s="65"/>
    </row>
    <row r="29" spans="1:18" ht="30.75" hidden="1" thickBot="1">
      <c r="A29" s="101"/>
      <c r="B29" s="203" t="s">
        <v>65</v>
      </c>
      <c r="C29" s="203" t="s">
        <v>66</v>
      </c>
      <c r="D29" s="203"/>
      <c r="E29" s="203" t="s">
        <v>67</v>
      </c>
      <c r="F29" s="203"/>
      <c r="G29" s="101"/>
      <c r="H29" s="101"/>
      <c r="I29" s="101"/>
      <c r="J29" s="101"/>
      <c r="K29" s="101"/>
      <c r="L29" s="101"/>
      <c r="M29" s="65"/>
      <c r="N29" s="65"/>
      <c r="O29" s="65"/>
      <c r="P29" s="85" t="s">
        <v>15</v>
      </c>
      <c r="Q29" s="14" t="s">
        <v>51</v>
      </c>
      <c r="R29" s="65"/>
    </row>
    <row r="30" spans="1:18" ht="15.75" hidden="1" thickBot="1">
      <c r="A30" s="101"/>
      <c r="B30" s="203"/>
      <c r="C30" s="102" t="s">
        <v>22</v>
      </c>
      <c r="D30" s="102" t="s">
        <v>23</v>
      </c>
      <c r="E30" s="102" t="s">
        <v>22</v>
      </c>
      <c r="F30" s="102" t="s">
        <v>23</v>
      </c>
      <c r="G30" s="101"/>
      <c r="H30" s="103" t="s">
        <v>37</v>
      </c>
      <c r="I30" s="103" t="s">
        <v>24</v>
      </c>
      <c r="J30" s="103" t="s">
        <v>25</v>
      </c>
      <c r="K30" s="103" t="s">
        <v>26</v>
      </c>
      <c r="L30" s="98"/>
      <c r="M30" s="71"/>
      <c r="N30" s="65"/>
      <c r="O30" s="65"/>
      <c r="P30" s="86" t="s">
        <v>16</v>
      </c>
      <c r="Q30" s="14" t="s">
        <v>52</v>
      </c>
      <c r="R30" s="65"/>
    </row>
    <row r="31" spans="1:18" ht="45.75" hidden="1" thickBot="1">
      <c r="A31" s="101"/>
      <c r="B31" s="104" t="s">
        <v>29</v>
      </c>
      <c r="C31" s="105">
        <f>COUNTIFS(Observaciones[[#All],[Estado]],Resumen!$P$23,Observaciones[[#All],[Severidad]],Resumen!$P$11)+COUNTIFS(Observaciones[[#All],[Estado]],$P$24,Observaciones[[#All],[Severidad]],Resumen!$P$11)</f>
        <v>0</v>
      </c>
      <c r="D31" s="106">
        <f>C31/$C$10</f>
        <v>0</v>
      </c>
      <c r="E31" s="107">
        <f>COUNTIFS(Observaciones[[#All],[Estado]],Resumen!$P$25,Observaciones[[#All],[Severidad]],Resumen!$P$11)</f>
        <v>0</v>
      </c>
      <c r="F31" s="106">
        <f>E31/$C$10</f>
        <v>0</v>
      </c>
      <c r="G31" s="101"/>
      <c r="H31" s="104" t="s">
        <v>29</v>
      </c>
      <c r="I31" s="108">
        <f>COUNTIFS(Observaciones[[#All],[Severidad]],Resumen!$P$11,Observaciones[[#All],[Prioridad]],Resumen!$P$18)</f>
        <v>0</v>
      </c>
      <c r="J31" s="108">
        <f>COUNTIFS(Observaciones[[#All],[Severidad]],Resumen!$P$11,Observaciones[[#All],[Prioridad]],Resumen!$P$19)</f>
        <v>0</v>
      </c>
      <c r="K31" s="108">
        <f>COUNTIFS(Observaciones[[#All],[Severidad]],Resumen!$P$11,Observaciones[[#All],[Prioridad]],Resumen!$P$20)</f>
        <v>0</v>
      </c>
      <c r="L31" s="99"/>
      <c r="M31" s="72"/>
      <c r="N31" s="65"/>
      <c r="O31" s="65"/>
      <c r="P31" s="87" t="s">
        <v>17</v>
      </c>
      <c r="Q31" s="14" t="s">
        <v>53</v>
      </c>
      <c r="R31" s="65"/>
    </row>
    <row r="32" spans="1:18" ht="30.75" hidden="1" thickBot="1">
      <c r="A32" s="101"/>
      <c r="B32" s="104" t="s">
        <v>31</v>
      </c>
      <c r="C32" s="105">
        <f>COUNTIFS(Observaciones[[#All],[Estado]],Resumen!$P$23,Observaciones[[#All],[Severidad]],Resumen!$P$12)+COUNTIFS(Observaciones[[#All],[Estado]],$P$24,Observaciones[[#All],[Severidad]],Resumen!$P$12)</f>
        <v>0</v>
      </c>
      <c r="D32" s="106">
        <f>C32/$C$10</f>
        <v>0</v>
      </c>
      <c r="E32" s="107">
        <f>COUNTIFS(Observaciones[[#All],[Estado]],Resumen!$P$25,Observaciones[[#All],[Severidad]],Resumen!$P$12)</f>
        <v>0</v>
      </c>
      <c r="F32" s="106">
        <f>E32/$C$10</f>
        <v>0</v>
      </c>
      <c r="G32" s="101"/>
      <c r="H32" s="104" t="s">
        <v>31</v>
      </c>
      <c r="I32" s="108">
        <f>COUNTIFS(Observaciones[[#All],[Severidad]],Resumen!$P$12,Observaciones[[#All],[Prioridad]],Resumen!$P$18)</f>
        <v>0</v>
      </c>
      <c r="J32" s="108">
        <f>COUNTIFS(Observaciones[[#All],[Severidad]],Resumen!$P$12,Observaciones[[#All],[Prioridad]],Resumen!$P$19)</f>
        <v>0</v>
      </c>
      <c r="K32" s="108">
        <f>COUNTIFS(Observaciones[[#All],[Severidad]],Resumen!$P$12,Observaciones[[#All],[Prioridad]],Resumen!$P$20)</f>
        <v>0</v>
      </c>
      <c r="L32" s="99"/>
      <c r="M32" s="72"/>
      <c r="N32" s="65"/>
      <c r="O32" s="65"/>
      <c r="P32" s="88" t="s">
        <v>19</v>
      </c>
      <c r="Q32" s="14" t="s">
        <v>54</v>
      </c>
      <c r="R32" s="65"/>
    </row>
    <row r="33" spans="1:18" ht="30.75" hidden="1" thickBot="1">
      <c r="A33" s="101"/>
      <c r="B33" s="104" t="s">
        <v>33</v>
      </c>
      <c r="C33" s="109">
        <f>COUNTIFS(Observaciones[[#All],[Estado]],Resumen!$P$23,Observaciones[[#All],[Severidad]],Resumen!$P$13)+COUNTIFS(Observaciones[[#All],[Estado]],$P$24,Observaciones[[#All],[Severidad]],Resumen!$P$13)</f>
        <v>0</v>
      </c>
      <c r="D33" s="106">
        <f>C33/$C$10</f>
        <v>0</v>
      </c>
      <c r="E33" s="107">
        <f>COUNTIFS(Observaciones[[#All],[Estado]],Resumen!$P$25,Observaciones[[#All],[Severidad]],Resumen!$P$13)</f>
        <v>0</v>
      </c>
      <c r="F33" s="106">
        <f>E33/$C$10</f>
        <v>0</v>
      </c>
      <c r="G33" s="101"/>
      <c r="H33" s="104" t="s">
        <v>33</v>
      </c>
      <c r="I33" s="108">
        <f>COUNTIFS(Observaciones[[#All],[Severidad]],Resumen!$P$13,Observaciones[[#All],[Prioridad]],Resumen!$P$18)</f>
        <v>0</v>
      </c>
      <c r="J33" s="108">
        <f>COUNTIFS(Observaciones[[#All],[Severidad]],Resumen!$P$13,Observaciones[[#All],[Prioridad]],Resumen!$P$19)</f>
        <v>0</v>
      </c>
      <c r="K33" s="108">
        <f>COUNTIFS(Observaciones[[#All],[Severidad]],Resumen!$P$13,Observaciones[[#All],[Prioridad]],Resumen!$P$20)</f>
        <v>0</v>
      </c>
      <c r="L33" s="99"/>
      <c r="M33" s="72"/>
      <c r="N33" s="65"/>
      <c r="O33" s="65"/>
      <c r="P33" s="89" t="s">
        <v>20</v>
      </c>
      <c r="Q33" s="14" t="s">
        <v>63</v>
      </c>
    </row>
    <row r="34" spans="1:18" hidden="1">
      <c r="A34" s="101"/>
      <c r="B34" s="104" t="s">
        <v>35</v>
      </c>
      <c r="C34" s="109">
        <f>COUNTIFS(Observaciones[[#All],[Estado]],Resumen!$P$23,Observaciones[[#All],[Severidad]],Resumen!$P$14)+COUNTIFS(Observaciones[[#All],[Estado]],$P$24,Observaciones[[#All],[Severidad]],Resumen!$P$14)</f>
        <v>0</v>
      </c>
      <c r="D34" s="106">
        <f>C34/$C$10</f>
        <v>0</v>
      </c>
      <c r="E34" s="107">
        <f>COUNTIFS(Observaciones[[#All],[Estado]],Resumen!$P$25,Observaciones[[#All],[Severidad]],Resumen!$P$14)</f>
        <v>0</v>
      </c>
      <c r="F34" s="106">
        <f>E34/$C$10</f>
        <v>0</v>
      </c>
      <c r="G34" s="101"/>
      <c r="H34" s="104" t="s">
        <v>35</v>
      </c>
      <c r="I34" s="108">
        <f>COUNTIFS(Observaciones[[#All],[Severidad]],Resumen!$P$14,Observaciones[[#All],[Prioridad]],Resumen!$P$18)</f>
        <v>0</v>
      </c>
      <c r="J34" s="108">
        <f>COUNTIFS(Observaciones[[#All],[Severidad]],Resumen!$P$14,Observaciones[[#All],[Prioridad]],Resumen!$P$19)</f>
        <v>0</v>
      </c>
      <c r="K34" s="108">
        <f>COUNTIFS(Observaciones[[#All],[Severidad]],Resumen!$P$14,Observaciones[[#All],[Prioridad]],Resumen!$P$20)</f>
        <v>0</v>
      </c>
      <c r="L34" s="99"/>
      <c r="M34" s="72"/>
      <c r="N34" s="65"/>
      <c r="O34" s="65"/>
      <c r="P34" s="65"/>
      <c r="Q34" s="65"/>
      <c r="R34" s="65"/>
    </row>
    <row r="35" spans="1:18" ht="15.75" hidden="1" thickBot="1">
      <c r="A35" s="101"/>
      <c r="B35" s="104" t="s">
        <v>68</v>
      </c>
      <c r="C35" s="110">
        <f>SUM(C31:C34)</f>
        <v>0</v>
      </c>
      <c r="D35" s="111">
        <f>SUM(D31:D34)</f>
        <v>0</v>
      </c>
      <c r="E35" s="110">
        <f>SUM(E31:E34)</f>
        <v>0</v>
      </c>
      <c r="F35" s="111">
        <f>SUM(F31:F34)</f>
        <v>0</v>
      </c>
      <c r="G35" s="101"/>
      <c r="H35" s="104" t="s">
        <v>68</v>
      </c>
      <c r="I35" s="112">
        <f>SUM(I31:I34)</f>
        <v>0</v>
      </c>
      <c r="J35" s="112">
        <f>SUM(J31:J34)</f>
        <v>0</v>
      </c>
      <c r="K35" s="112">
        <f>SUM(K31:K34)</f>
        <v>0</v>
      </c>
      <c r="L35" s="99"/>
      <c r="M35" s="72"/>
      <c r="N35" s="65"/>
      <c r="O35" s="65"/>
      <c r="P35" s="10" t="s">
        <v>55</v>
      </c>
      <c r="Q35" s="11" t="s">
        <v>1</v>
      </c>
      <c r="R35" s="65"/>
    </row>
    <row r="36" spans="1:18" ht="15.75" hidden="1" thickBot="1">
      <c r="A36" s="101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65"/>
      <c r="N36" s="65"/>
      <c r="O36" s="65"/>
      <c r="P36" s="26" t="s">
        <v>56</v>
      </c>
      <c r="Q36" s="27" t="s">
        <v>57</v>
      </c>
      <c r="R36" s="65"/>
    </row>
    <row r="37" spans="1:18" ht="30.75" hidden="1" thickBot="1">
      <c r="A37" s="65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28" t="s">
        <v>58</v>
      </c>
      <c r="Q37" s="29" t="s">
        <v>59</v>
      </c>
      <c r="R37" s="65"/>
    </row>
    <row r="38" spans="1:18" ht="30.75" hidden="1" thickBot="1">
      <c r="A38" s="65"/>
      <c r="B38" s="65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30" t="s">
        <v>60</v>
      </c>
      <c r="Q38" s="29" t="s">
        <v>61</v>
      </c>
      <c r="R38" s="65"/>
    </row>
    <row r="39" spans="1:18" hidden="1">
      <c r="A39" s="65"/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</row>
  </sheetData>
  <mergeCells count="12">
    <mergeCell ref="B29:B30"/>
    <mergeCell ref="C29:D29"/>
    <mergeCell ref="E29:F29"/>
    <mergeCell ref="G2:O2"/>
    <mergeCell ref="G4:O4"/>
    <mergeCell ref="B17:B18"/>
    <mergeCell ref="C17:D17"/>
    <mergeCell ref="E17:F17"/>
    <mergeCell ref="G17:H17"/>
    <mergeCell ref="I17:J17"/>
    <mergeCell ref="M17:N17"/>
    <mergeCell ref="K17:L17"/>
  </mergeCells>
  <conditionalFormatting sqref="G4:O4">
    <cfRule type="expression" dxfId="83" priority="1" stopIfTrue="1">
      <formula>NOT(ISERROR(SEARCH("INSATISFACTORIO",G4)))</formula>
    </cfRule>
    <cfRule type="expression" dxfId="82" priority="2" stopIfTrue="1">
      <formula>NOT(ISERROR(SEARCH("SATISFACTORIO con Observaciones",G4)))</formula>
    </cfRule>
    <cfRule type="expression" dxfId="81" priority="3" stopIfTrue="1">
      <formula>NOT(ISERROR(SEARCH("SATISFACTORIO",G4)))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R41"/>
  <sheetViews>
    <sheetView topLeftCell="A4" zoomScale="85" zoomScaleNormal="85" workbookViewId="0">
      <selection activeCell="A9" sqref="A9"/>
    </sheetView>
  </sheetViews>
  <sheetFormatPr baseColWidth="10" defaultColWidth="0" defaultRowHeight="15" zeroHeight="1"/>
  <cols>
    <col min="1" max="1" width="20.7109375" style="31" bestFit="1" customWidth="1"/>
    <col min="2" max="2" width="22.140625" style="31" bestFit="1" customWidth="1"/>
    <col min="3" max="3" width="20.7109375" style="31" hidden="1" customWidth="1"/>
    <col min="4" max="4" width="45.28515625" style="31" bestFit="1" customWidth="1"/>
    <col min="5" max="5" width="25.7109375" style="158" bestFit="1" customWidth="1"/>
    <col min="6" max="6" width="21" style="159" bestFit="1" customWidth="1"/>
    <col min="7" max="7" width="20.7109375" style="158" bestFit="1" customWidth="1"/>
    <col min="8" max="8" width="15.28515625" style="158" bestFit="1" customWidth="1"/>
    <col min="9" max="9" width="16.28515625" style="158" bestFit="1" customWidth="1"/>
    <col min="10" max="10" width="23.7109375" style="158" bestFit="1" customWidth="1"/>
    <col min="11" max="11" width="18.42578125" style="158" hidden="1" customWidth="1"/>
    <col min="12" max="12" width="24" style="160" bestFit="1" customWidth="1"/>
    <col min="13" max="13" width="17.42578125" style="158" bestFit="1" customWidth="1"/>
    <col min="14" max="14" width="20.85546875" style="158" customWidth="1"/>
    <col min="15" max="15" width="49.7109375" style="31" hidden="1" customWidth="1"/>
    <col min="16" max="16" width="87.28515625" style="31" customWidth="1"/>
    <col min="17" max="17" width="14.5703125" style="31" bestFit="1" customWidth="1"/>
    <col min="18" max="18" width="6.28515625" style="31" customWidth="1"/>
    <col min="19" max="16384" width="6.28515625" style="31" hidden="1"/>
  </cols>
  <sheetData>
    <row r="1" spans="1:18">
      <c r="A1" s="82"/>
      <c r="B1" s="82"/>
      <c r="C1" s="82"/>
      <c r="D1" s="82"/>
      <c r="E1" s="148"/>
      <c r="F1" s="149"/>
      <c r="G1" s="148"/>
      <c r="H1" s="148"/>
      <c r="I1" s="148"/>
      <c r="J1" s="148"/>
      <c r="K1" s="148"/>
      <c r="L1" s="150"/>
      <c r="M1" s="148"/>
      <c r="N1" s="148"/>
      <c r="O1" s="82"/>
      <c r="P1" s="82"/>
      <c r="Q1" s="82"/>
      <c r="R1" s="82"/>
    </row>
    <row r="2" spans="1:18" ht="15" customHeight="1">
      <c r="A2" s="82"/>
      <c r="B2" s="82"/>
      <c r="C2" s="82"/>
      <c r="D2" s="132" t="s">
        <v>5</v>
      </c>
      <c r="E2" s="185" t="str">
        <f>General!$B$3</f>
        <v>1 - SEOV</v>
      </c>
      <c r="F2" s="151" t="s">
        <v>6</v>
      </c>
      <c r="G2" s="216" t="str">
        <f>General!$B$4</f>
        <v>Sistema Experto de Orientación Profesional</v>
      </c>
      <c r="H2" s="217"/>
      <c r="I2" s="217"/>
      <c r="J2" s="217"/>
      <c r="K2" s="217"/>
      <c r="L2" s="217"/>
      <c r="M2" s="217"/>
      <c r="N2" s="218"/>
      <c r="O2" s="82"/>
      <c r="P2" s="82"/>
      <c r="Q2" s="82"/>
      <c r="R2" s="82"/>
    </row>
    <row r="3" spans="1:18" s="61" customFormat="1" ht="58.5" customHeight="1">
      <c r="A3" s="82"/>
      <c r="B3" s="82"/>
      <c r="C3" s="82"/>
      <c r="D3" s="83"/>
      <c r="E3" s="152"/>
      <c r="F3" s="153"/>
      <c r="G3" s="152"/>
      <c r="H3" s="152"/>
      <c r="I3" s="152"/>
      <c r="J3" s="152"/>
      <c r="K3" s="152"/>
      <c r="L3" s="152"/>
      <c r="M3" s="152"/>
      <c r="N3" s="152"/>
      <c r="O3" s="82"/>
      <c r="P3" s="82"/>
      <c r="Q3" s="82"/>
      <c r="R3" s="82"/>
    </row>
    <row r="4" spans="1:18" s="80" customFormat="1" ht="27">
      <c r="A4" s="125" t="s">
        <v>129</v>
      </c>
      <c r="B4" s="126" t="s">
        <v>152</v>
      </c>
      <c r="C4" s="126" t="s">
        <v>69</v>
      </c>
      <c r="D4" s="126" t="s">
        <v>70</v>
      </c>
      <c r="E4" s="126" t="s">
        <v>71</v>
      </c>
      <c r="F4" s="127" t="s">
        <v>72</v>
      </c>
      <c r="G4" s="126" t="s">
        <v>73</v>
      </c>
      <c r="H4" s="126" t="s">
        <v>74</v>
      </c>
      <c r="I4" s="128" t="s">
        <v>75</v>
      </c>
      <c r="J4" s="128" t="s">
        <v>76</v>
      </c>
      <c r="K4" s="129" t="s">
        <v>77</v>
      </c>
      <c r="L4" s="130" t="s">
        <v>78</v>
      </c>
      <c r="M4" s="131" t="s">
        <v>79</v>
      </c>
      <c r="N4" s="126" t="s">
        <v>80</v>
      </c>
      <c r="O4" s="126" t="s">
        <v>81</v>
      </c>
      <c r="P4" s="126" t="s">
        <v>82</v>
      </c>
      <c r="Q4" s="126" t="s">
        <v>83</v>
      </c>
      <c r="R4" s="84"/>
    </row>
    <row r="5" spans="1:18" s="135" customFormat="1" ht="45">
      <c r="A5" s="137" t="s">
        <v>147</v>
      </c>
      <c r="B5" s="137" t="s">
        <v>84</v>
      </c>
      <c r="C5" s="137" t="s">
        <v>174</v>
      </c>
      <c r="D5" s="80" t="s">
        <v>256</v>
      </c>
      <c r="E5" s="154" t="s">
        <v>148</v>
      </c>
      <c r="F5" s="155" t="str">
        <f>IF(CasoPrueba[[#This Row],[Estado Testing]]=Resumen!$P$29,"OK",IF(CasoPrueba[[#This Row],[Estado Testing]]=Resumen!$P$30,"NO OK",IF((CasoPrueba[[#This Row],[Estado Testing]]=Resumen!$P$31)+(CasoPrueba[[#This Row],[Estado Testing]]=Resumen!$P$32),"OBSERVADO","")))</f>
        <v>OK</v>
      </c>
      <c r="G5" s="154" t="s">
        <v>15</v>
      </c>
      <c r="H5" s="154" t="s">
        <v>26</v>
      </c>
      <c r="I5" s="156" t="str">
        <f>IF(CasoPrueba[[#This Row],[Prioridad]]="Baja", "Severidad 3", IF(CasoPrueba[[#This Row],[Prioridad]]="Media", "Severidad 2", IF(CasoPrueba[[#This Row],[Prioridad]]="Media", "Severidad 1")))</f>
        <v>Severidad 3</v>
      </c>
      <c r="J5" s="154" t="s">
        <v>45</v>
      </c>
      <c r="K5" s="154"/>
      <c r="L5" s="157">
        <v>41147</v>
      </c>
      <c r="M5" s="157">
        <v>41148</v>
      </c>
      <c r="N5" s="154">
        <v>2</v>
      </c>
      <c r="O5" s="137"/>
      <c r="P5" s="186" t="s">
        <v>172</v>
      </c>
      <c r="Q5" s="139" t="s">
        <v>154</v>
      </c>
      <c r="R5" s="136"/>
    </row>
    <row r="6" spans="1:18" s="4" customFormat="1" ht="24">
      <c r="A6" s="137" t="s">
        <v>147</v>
      </c>
      <c r="B6" s="137" t="s">
        <v>145</v>
      </c>
      <c r="C6" s="137" t="s">
        <v>175</v>
      </c>
      <c r="D6" s="80" t="s">
        <v>257</v>
      </c>
      <c r="E6" s="154" t="s">
        <v>148</v>
      </c>
      <c r="F6" s="155" t="str">
        <f>IF(CasoPrueba[[#This Row],[Estado Testing]]=Resumen!$P$29,"OK",IF(CasoPrueba[[#This Row],[Estado Testing]]=Resumen!$P$30,"NO OK",IF((CasoPrueba[[#This Row],[Estado Testing]]=Resumen!$P$31)+(CasoPrueba[[#This Row],[Estado Testing]]=Resumen!$P$32),"OBSERVADO","")))</f>
        <v>OK</v>
      </c>
      <c r="G6" s="154" t="s">
        <v>15</v>
      </c>
      <c r="H6" s="154" t="s">
        <v>25</v>
      </c>
      <c r="I6" s="156" t="str">
        <f>IF(CasoPrueba[[#This Row],[Prioridad]]="Baja", "Severidad 3", IF(CasoPrueba[[#This Row],[Prioridad]]="Media", "Severidad 2", IF(CasoPrueba[[#This Row],[Prioridad]]="Media", "Severidad 1")))</f>
        <v>Severidad 2</v>
      </c>
      <c r="J6" s="154" t="s">
        <v>45</v>
      </c>
      <c r="K6" s="154"/>
      <c r="L6" s="157">
        <v>41150</v>
      </c>
      <c r="M6" s="157">
        <v>41150</v>
      </c>
      <c r="N6" s="154">
        <v>2</v>
      </c>
      <c r="O6" s="137"/>
      <c r="P6" s="186" t="s">
        <v>243</v>
      </c>
      <c r="Q6" s="139" t="s">
        <v>154</v>
      </c>
    </row>
    <row r="7" spans="1:18" s="4" customFormat="1" ht="24">
      <c r="A7" s="137" t="s">
        <v>147</v>
      </c>
      <c r="B7" s="137" t="s">
        <v>146</v>
      </c>
      <c r="C7" s="137" t="s">
        <v>176</v>
      </c>
      <c r="D7" s="80" t="s">
        <v>258</v>
      </c>
      <c r="E7" s="154" t="s">
        <v>148</v>
      </c>
      <c r="F7" s="155" t="str">
        <f>IF(CasoPrueba[[#This Row],[Estado Testing]]=Resumen!$P$29,"OK",IF(CasoPrueba[[#This Row],[Estado Testing]]=Resumen!$P$30,"NO OK",IF((CasoPrueba[[#This Row],[Estado Testing]]=Resumen!$P$31)+(CasoPrueba[[#This Row],[Estado Testing]]=Resumen!$P$32),"OBSERVADO","")))</f>
        <v>OK</v>
      </c>
      <c r="G7" s="154" t="s">
        <v>15</v>
      </c>
      <c r="H7" s="154" t="s">
        <v>26</v>
      </c>
      <c r="I7" s="156" t="str">
        <f>IF(CasoPrueba[[#This Row],[Prioridad]]="Baja", "Severidad 3", IF(CasoPrueba[[#This Row],[Prioridad]]="Media", "Severidad 2", IF(CasoPrueba[[#This Row],[Prioridad]]="Media", "Severidad 1")))</f>
        <v>Severidad 3</v>
      </c>
      <c r="J7" s="154" t="s">
        <v>45</v>
      </c>
      <c r="K7" s="154"/>
      <c r="L7" s="157">
        <v>41151</v>
      </c>
      <c r="M7" s="157">
        <v>41153</v>
      </c>
      <c r="N7" s="154">
        <v>2</v>
      </c>
      <c r="O7" s="137"/>
      <c r="P7" s="186" t="s">
        <v>244</v>
      </c>
      <c r="Q7" s="139" t="s">
        <v>171</v>
      </c>
    </row>
    <row r="8" spans="1:18" s="4" customFormat="1" ht="167.25" customHeight="1">
      <c r="A8" s="137" t="s">
        <v>147</v>
      </c>
      <c r="B8" s="137" t="s">
        <v>209</v>
      </c>
      <c r="C8" s="137" t="s">
        <v>218</v>
      </c>
      <c r="D8" s="80" t="s">
        <v>219</v>
      </c>
      <c r="E8" s="154" t="s">
        <v>148</v>
      </c>
      <c r="F8" s="155" t="str">
        <f>IF(CasoPrueba[[#This Row],[Estado Testing]]=Resumen!$P$29,"OK",IF(CasoPrueba[[#This Row],[Estado Testing]]=Resumen!$P$30,"NO OK",IF((CasoPrueba[[#This Row],[Estado Testing]]=Resumen!$P$31)+(CasoPrueba[[#This Row],[Estado Testing]]=Resumen!$P$32),"OBSERVADO","")))</f>
        <v>OK</v>
      </c>
      <c r="G8" s="154" t="s">
        <v>15</v>
      </c>
      <c r="H8" s="154" t="s">
        <v>26</v>
      </c>
      <c r="I8" s="156" t="str">
        <f>IF(CasoPrueba[[#This Row],[Prioridad]]="Baja", "Severidad 3", IF(CasoPrueba[[#This Row],[Prioridad]]="Media", "Severidad 2", IF(CasoPrueba[[#This Row],[Prioridad]]="Media", "Severidad 1")))</f>
        <v>Severidad 3</v>
      </c>
      <c r="J8" s="154" t="s">
        <v>45</v>
      </c>
      <c r="K8" s="154"/>
      <c r="L8" s="157">
        <v>41167</v>
      </c>
      <c r="M8" s="157">
        <v>41169</v>
      </c>
      <c r="N8" s="154">
        <v>4</v>
      </c>
      <c r="O8" s="137"/>
      <c r="P8" s="186" t="s">
        <v>245</v>
      </c>
      <c r="Q8" s="139" t="s">
        <v>171</v>
      </c>
    </row>
    <row r="9" spans="1:18" ht="33.75">
      <c r="A9" s="135" t="s">
        <v>147</v>
      </c>
      <c r="B9" s="135" t="s">
        <v>247</v>
      </c>
      <c r="C9" s="137" t="s">
        <v>250</v>
      </c>
      <c r="D9" s="80" t="s">
        <v>251</v>
      </c>
      <c r="E9" s="154" t="s">
        <v>148</v>
      </c>
      <c r="F9" s="189"/>
      <c r="G9" s="154" t="s">
        <v>20</v>
      </c>
      <c r="H9" s="154" t="s">
        <v>26</v>
      </c>
      <c r="I9" s="156" t="str">
        <f>IF(CasoPrueba[[#This Row],[Prioridad]]="Baja", "Severidad 3", IF(CasoPrueba[[#This Row],[Prioridad]]="Media", "Severidad 2", IF(CasoPrueba[[#This Row],[Prioridad]]="Media", "Severidad 1")))</f>
        <v>Severidad 3</v>
      </c>
      <c r="J9" s="154" t="s">
        <v>43</v>
      </c>
      <c r="K9" s="184"/>
      <c r="L9" s="157">
        <v>41171</v>
      </c>
      <c r="M9" s="157">
        <v>41171</v>
      </c>
      <c r="N9" s="184">
        <v>2</v>
      </c>
      <c r="O9" s="135"/>
      <c r="P9" s="186" t="s">
        <v>270</v>
      </c>
      <c r="Q9" s="139" t="s">
        <v>171</v>
      </c>
    </row>
    <row r="10" spans="1:18" ht="56.25">
      <c r="A10" s="135" t="s">
        <v>147</v>
      </c>
      <c r="B10" s="135" t="s">
        <v>252</v>
      </c>
      <c r="C10" s="137" t="s">
        <v>262</v>
      </c>
      <c r="D10" s="80" t="s">
        <v>259</v>
      </c>
      <c r="E10" s="154" t="s">
        <v>148</v>
      </c>
      <c r="F10" s="189"/>
      <c r="G10" s="154" t="s">
        <v>18</v>
      </c>
      <c r="H10" s="154" t="s">
        <v>26</v>
      </c>
      <c r="I10" s="156" t="str">
        <f>IF(CasoPrueba[[#This Row],[Prioridad]]="Baja", "Severidad 3", IF(CasoPrueba[[#This Row],[Prioridad]]="Media", "Severidad 2", IF(CasoPrueba[[#This Row],[Prioridad]]="Media", "Severidad 1")))</f>
        <v>Severidad 3</v>
      </c>
      <c r="J10" s="154" t="s">
        <v>43</v>
      </c>
      <c r="K10" s="184"/>
      <c r="L10" s="157">
        <v>41176</v>
      </c>
      <c r="M10" s="157">
        <v>41179</v>
      </c>
      <c r="N10" s="184">
        <v>2</v>
      </c>
      <c r="O10" s="135"/>
      <c r="P10" s="186" t="s">
        <v>271</v>
      </c>
      <c r="Q10" s="139" t="s">
        <v>171</v>
      </c>
    </row>
    <row r="11" spans="1:18" ht="157.5">
      <c r="A11" s="135" t="s">
        <v>147</v>
      </c>
      <c r="B11" s="135" t="s">
        <v>282</v>
      </c>
      <c r="C11" s="135" t="s">
        <v>262</v>
      </c>
      <c r="D11" s="80" t="s">
        <v>259</v>
      </c>
      <c r="E11" s="184" t="s">
        <v>148</v>
      </c>
      <c r="F11" s="189"/>
      <c r="G11" s="154" t="s">
        <v>18</v>
      </c>
      <c r="H11" s="184" t="s">
        <v>25</v>
      </c>
      <c r="I11" s="156" t="str">
        <f>IF(CasoPrueba[[#This Row],[Prioridad]]="Baja", "Severidad 3", IF(CasoPrueba[[#This Row],[Prioridad]]="Media", "Severidad 2", IF(CasoPrueba[[#This Row],[Prioridad]]="Media", "Severidad 1")))</f>
        <v>Severidad 2</v>
      </c>
      <c r="J11" s="184" t="s">
        <v>43</v>
      </c>
      <c r="K11" s="184"/>
      <c r="L11" s="157">
        <v>41179</v>
      </c>
      <c r="M11" s="157">
        <v>41181</v>
      </c>
      <c r="N11" s="184">
        <v>5</v>
      </c>
      <c r="O11" s="135"/>
      <c r="P11" s="186" t="s">
        <v>312</v>
      </c>
      <c r="Q11" s="139" t="s">
        <v>171</v>
      </c>
    </row>
    <row r="12" spans="1:18"/>
    <row r="13" spans="1:18"/>
    <row r="14" spans="1:18"/>
    <row r="15" spans="1:18"/>
    <row r="16" spans="1:18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</sheetData>
  <scenarios current="0" show="0">
    <scenario name="Registro de Incidencia" locked="1" count="1" user="oecastillom" comment="Creado por oecastillom el 09/02/2011">
      <inputCells r="J5" val="&quot;Abierta&quot;"/>
    </scenario>
  </scenarios>
  <mergeCells count="1">
    <mergeCell ref="G2:N2"/>
  </mergeCells>
  <dataValidations count="1">
    <dataValidation type="list" allowBlank="1" showInputMessage="1" showErrorMessage="1" sqref="Q5:Q11">
      <formula1>"Eduardo Arratia,Roberto Taype"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Resumen!$P$28:$P$33</xm:f>
          </x14:formula1>
          <xm:sqref>G5:G11</xm:sqref>
        </x14:dataValidation>
        <x14:dataValidation type="list" allowBlank="1" showInputMessage="1" showErrorMessage="1">
          <x14:formula1>
            <xm:f>Resumen!$P$18:$P$20</xm:f>
          </x14:formula1>
          <xm:sqref>H5:H11</xm:sqref>
        </x14:dataValidation>
        <x14:dataValidation type="list" allowBlank="1" showInputMessage="1" showErrorMessage="1">
          <x14:formula1>
            <xm:f>Resumen!$P$23:$P$25</xm:f>
          </x14:formula1>
          <xm:sqref>J5:J11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XFC28"/>
  <sheetViews>
    <sheetView tabSelected="1" topLeftCell="D17" zoomScaleNormal="100" workbookViewId="0">
      <selection activeCell="I21" sqref="I21"/>
    </sheetView>
  </sheetViews>
  <sheetFormatPr baseColWidth="10" defaultColWidth="0" defaultRowHeight="15"/>
  <cols>
    <col min="1" max="1" width="9.28515625" style="63" bestFit="1" customWidth="1"/>
    <col min="2" max="2" width="12.7109375" style="33" bestFit="1" customWidth="1"/>
    <col min="3" max="3" width="13" style="33" bestFit="1" customWidth="1"/>
    <col min="4" max="4" width="13.7109375" style="33" bestFit="1" customWidth="1"/>
    <col min="5" max="5" width="11.140625" style="33" bestFit="1" customWidth="1"/>
    <col min="6" max="6" width="13.7109375" style="64" bestFit="1" customWidth="1"/>
    <col min="7" max="7" width="16.7109375" style="64" bestFit="1" customWidth="1"/>
    <col min="8" max="8" width="16.140625" style="81" bestFit="1" customWidth="1"/>
    <col min="9" max="9" width="56.85546875" style="33" bestFit="1" customWidth="1"/>
    <col min="10" max="10" width="39.28515625" style="33" bestFit="1" customWidth="1"/>
    <col min="11" max="11" width="14" style="31" bestFit="1" customWidth="1"/>
    <col min="12" max="12" width="13.140625" style="31" hidden="1" customWidth="1"/>
    <col min="13" max="16383" width="11.42578125" style="31" hidden="1"/>
    <col min="16384" max="16384" width="3.7109375" style="31" hidden="1" customWidth="1"/>
  </cols>
  <sheetData>
    <row r="1" spans="1:14" customFormat="1" ht="31.5">
      <c r="A1" s="219" t="s">
        <v>91</v>
      </c>
      <c r="B1" s="219"/>
      <c r="C1" s="219"/>
      <c r="D1" s="219"/>
      <c r="E1" s="219"/>
      <c r="F1" s="219"/>
      <c r="G1" s="219"/>
      <c r="H1" s="219"/>
      <c r="I1" s="219"/>
      <c r="J1" s="219"/>
      <c r="K1" s="219"/>
      <c r="N1" s="31" t="s">
        <v>127</v>
      </c>
    </row>
    <row r="2" spans="1:14" s="62" customFormat="1" ht="48.75" customHeight="1">
      <c r="A2" s="141" t="s">
        <v>85</v>
      </c>
      <c r="B2" s="142" t="s">
        <v>152</v>
      </c>
      <c r="C2" s="142" t="s">
        <v>74</v>
      </c>
      <c r="D2" s="142" t="s">
        <v>75</v>
      </c>
      <c r="E2" s="142" t="s">
        <v>87</v>
      </c>
      <c r="F2" s="143" t="s">
        <v>88</v>
      </c>
      <c r="G2" s="143" t="s">
        <v>223</v>
      </c>
      <c r="H2" s="143" t="s">
        <v>124</v>
      </c>
      <c r="I2" s="142" t="s">
        <v>1</v>
      </c>
      <c r="J2" s="142" t="s">
        <v>89</v>
      </c>
      <c r="K2" s="144" t="s">
        <v>99</v>
      </c>
      <c r="L2" s="144" t="s">
        <v>137</v>
      </c>
      <c r="N2" s="31" t="s">
        <v>128</v>
      </c>
    </row>
    <row r="3" spans="1:14" s="140" customFormat="1" ht="24">
      <c r="A3" s="138" t="s">
        <v>92</v>
      </c>
      <c r="B3" s="138" t="s">
        <v>84</v>
      </c>
      <c r="C3" s="182" t="str">
        <f>VLOOKUP(Observaciones[Código Iteración],CasoPrueba[[#All],[Código Iteración]:[Prioridad]],7,TRUE)</f>
        <v>Baja</v>
      </c>
      <c r="D3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3" s="138" t="s">
        <v>44</v>
      </c>
      <c r="F3" s="145">
        <f>VLOOKUP(Observaciones[Código Iteración],CasoPrueba[[#All],[Código Iteración]:[Fecha Real]],12,TRUE)</f>
        <v>41148</v>
      </c>
      <c r="G3" s="145">
        <f>VLOOKUP(Observaciones[Código Iteración],CasoPrueba[[#All],[Código Iteración]:[Fecha Real]],12,TRUE)</f>
        <v>41148</v>
      </c>
      <c r="H3" s="146" t="s">
        <v>154</v>
      </c>
      <c r="I3" s="147" t="s">
        <v>169</v>
      </c>
      <c r="J3" s="138" t="s">
        <v>150</v>
      </c>
      <c r="K3" s="138">
        <f>IF((Observaciones[[#This Row],[Fecha Levant.]]-Observaciones[[#This Row],[Fecha Detección]])&gt;=0,Observaciones[[#This Row],[Fecha Levant.]]-Observaciones[[#This Row],[Fecha Detección]]+1,0)</f>
        <v>1</v>
      </c>
      <c r="L3" s="138" t="str">
        <f>LOOKUP(Observaciones[[#This Row],[Código Iteración]],CasoPrueba[Código Iteración],CasoPrueba[Código de REQ])</f>
        <v>INSPECCIÓN</v>
      </c>
    </row>
    <row r="4" spans="1:14" s="140" customFormat="1" ht="24">
      <c r="A4" s="138" t="s">
        <v>149</v>
      </c>
      <c r="B4" s="138" t="s">
        <v>84</v>
      </c>
      <c r="C4" s="183" t="str">
        <f>VLOOKUP(Observaciones[Código Iteración],CasoPrueba[[#All],[Código Iteración]:[Prioridad]],7,TRUE)</f>
        <v>Baja</v>
      </c>
      <c r="D4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4" s="138" t="s">
        <v>44</v>
      </c>
      <c r="F4" s="145">
        <f>VLOOKUP(Observaciones[Código Iteración],CasoPrueba[[#All],[Código Iteración]:[Fecha Real]],12,TRUE)</f>
        <v>41148</v>
      </c>
      <c r="G4" s="145">
        <f>VLOOKUP(Observaciones[Código Iteración],CasoPrueba[[#All],[Código Iteración]:[Fecha Real]],12,TRUE)</f>
        <v>41148</v>
      </c>
      <c r="H4" s="146" t="s">
        <v>154</v>
      </c>
      <c r="I4" s="138" t="s">
        <v>163</v>
      </c>
      <c r="J4" s="138" t="s">
        <v>150</v>
      </c>
      <c r="K4" s="138">
        <f>IF((Observaciones[[#This Row],[Fecha Levant.]]-Observaciones[[#This Row],[Fecha Detección]])&gt;=0,Observaciones[[#This Row],[Fecha Levant.]]-Observaciones[[#This Row],[Fecha Detección]]+1,0)</f>
        <v>1</v>
      </c>
      <c r="L4" s="138" t="str">
        <f>LOOKUP(Observaciones[[#This Row],[Código Iteración]],CasoPrueba[Código Iteración],CasoPrueba[Código de REQ])</f>
        <v>INSPECCIÓN</v>
      </c>
    </row>
    <row r="5" spans="1:14" s="140" customFormat="1" ht="24">
      <c r="A5" s="138" t="s">
        <v>159</v>
      </c>
      <c r="B5" s="138" t="s">
        <v>84</v>
      </c>
      <c r="C5" s="182" t="str">
        <f>VLOOKUP(Observaciones[Código Iteración],CasoPrueba[[#All],[Código Iteración]:[Prioridad]],7,TRUE)</f>
        <v>Baja</v>
      </c>
      <c r="D5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5" s="138" t="s">
        <v>44</v>
      </c>
      <c r="F5" s="145">
        <f>VLOOKUP(Observaciones[Código Iteración],CasoPrueba[[#All],[Código Iteración]:[Fecha Real]],12,TRUE)</f>
        <v>41148</v>
      </c>
      <c r="G5" s="145">
        <v>41148</v>
      </c>
      <c r="H5" s="146" t="s">
        <v>154</v>
      </c>
      <c r="I5" s="138" t="s">
        <v>160</v>
      </c>
      <c r="J5" s="138" t="s">
        <v>164</v>
      </c>
      <c r="K5" s="138">
        <f>IF((Observaciones[[#This Row],[Fecha Levant.]]-Observaciones[[#This Row],[Fecha Detección]])&gt;=0,Observaciones[[#This Row],[Fecha Levant.]]-Observaciones[[#This Row],[Fecha Detección]]+1,0)</f>
        <v>1</v>
      </c>
      <c r="L5" s="138" t="str">
        <f>LOOKUP(Observaciones[[#This Row],[Código Iteración]],CasoPrueba[Código Iteración],CasoPrueba[Código de REQ])</f>
        <v>INSPECCIÓN</v>
      </c>
    </row>
    <row r="6" spans="1:14" s="140" customFormat="1" ht="24">
      <c r="A6" s="138" t="s">
        <v>161</v>
      </c>
      <c r="B6" s="138" t="s">
        <v>145</v>
      </c>
      <c r="C6" s="183" t="str">
        <f>VLOOKUP(Observaciones[Código Iteración],CasoPrueba[[#All],[Código Iteración]:[Prioridad]],7,TRUE)</f>
        <v>Media</v>
      </c>
      <c r="D6" s="138" t="str">
        <f>IF(Observaciones[[#This Row],[Prioridad]]="Baja", "Severidad 3", IF(Observaciones[[#This Row],[Prioridad]]="Media", "Severidad 2", IF(Observaciones[[#This Row],[Prioridad]]="Media", "Severidad 1")))</f>
        <v>Severidad 2</v>
      </c>
      <c r="E6" s="138" t="s">
        <v>44</v>
      </c>
      <c r="F6" s="145">
        <f>VLOOKUP(Observaciones[Código Iteración],CasoPrueba[[#All],[Código Iteración]:[Fecha Real]],12,TRUE)</f>
        <v>41150</v>
      </c>
      <c r="G6" s="145">
        <v>41150</v>
      </c>
      <c r="H6" s="146" t="s">
        <v>154</v>
      </c>
      <c r="I6" s="138" t="s">
        <v>162</v>
      </c>
      <c r="J6" s="178" t="s">
        <v>165</v>
      </c>
      <c r="K6" s="138">
        <f>IF((Observaciones[[#This Row],[Fecha Levant.]]-Observaciones[[#This Row],[Fecha Detección]])&gt;=0,Observaciones[[#This Row],[Fecha Levant.]]-Observaciones[[#This Row],[Fecha Detección]]+1,0)</f>
        <v>1</v>
      </c>
      <c r="L6" s="138" t="str">
        <f>LOOKUP(Observaciones[[#This Row],[Código Iteración]],CasoPrueba[Código Iteración],CasoPrueba[Código de REQ])</f>
        <v>INSPECCIÓN</v>
      </c>
    </row>
    <row r="7" spans="1:14" s="140" customFormat="1" ht="24">
      <c r="A7" s="138" t="s">
        <v>170</v>
      </c>
      <c r="B7" s="138" t="s">
        <v>146</v>
      </c>
      <c r="C7" s="182" t="str">
        <f>VLOOKUP(Observaciones[Código Iteración],CasoPrueba[[#All],[Código Iteración]:[Prioridad]],7,TRUE)</f>
        <v>Baja</v>
      </c>
      <c r="D7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7" s="138" t="s">
        <v>44</v>
      </c>
      <c r="F7" s="145">
        <f>VLOOKUP(Observaciones[Código Iteración],CasoPrueba[[#All],[Código Iteración]:[Fecha Real]],12,TRUE)</f>
        <v>41153</v>
      </c>
      <c r="G7" s="145">
        <v>41171</v>
      </c>
      <c r="H7" s="146" t="s">
        <v>171</v>
      </c>
      <c r="I7" s="138" t="s">
        <v>173</v>
      </c>
      <c r="J7" s="138" t="s">
        <v>242</v>
      </c>
      <c r="K7" s="138">
        <f>IF((Observaciones[[#This Row],[Fecha Levant.]]-Observaciones[[#This Row],[Fecha Detección]])&gt;=0,Observaciones[[#This Row],[Fecha Levant.]]-Observaciones[[#This Row],[Fecha Detección]]+1,0)</f>
        <v>19</v>
      </c>
      <c r="L7" s="138" t="str">
        <f>LOOKUP(Observaciones[[#This Row],[Código Iteración]],CasoPrueba[Código Iteración],CasoPrueba[Código de REQ])</f>
        <v>INSPECCIÓN</v>
      </c>
    </row>
    <row r="8" spans="1:14" ht="60">
      <c r="A8" s="138" t="s">
        <v>210</v>
      </c>
      <c r="B8" s="138" t="s">
        <v>209</v>
      </c>
      <c r="C8" s="183" t="str">
        <f>VLOOKUP(Observaciones[Código Iteración],CasoPrueba[[#All],[Código Iteración]:[Prioridad]],7,TRUE)</f>
        <v>Baja</v>
      </c>
      <c r="D8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8" s="138" t="s">
        <v>44</v>
      </c>
      <c r="F8" s="145">
        <f>VLOOKUP(Observaciones[Código Iteración],CasoPrueba[[#All],[Código Iteración]:[Fecha Real]],12,TRUE)</f>
        <v>41169</v>
      </c>
      <c r="G8" s="145">
        <v>41169</v>
      </c>
      <c r="H8" s="146" t="s">
        <v>171</v>
      </c>
      <c r="I8" s="138" t="s">
        <v>224</v>
      </c>
      <c r="J8" s="138" t="s">
        <v>235</v>
      </c>
      <c r="K8" s="138">
        <f>IF((Observaciones[[#This Row],[Fecha Levant.]]-Observaciones[[#This Row],[Fecha Detección]])&gt;=0,Observaciones[[#This Row],[Fecha Levant.]]-Observaciones[[#This Row],[Fecha Detección]]+1,0)</f>
        <v>1</v>
      </c>
      <c r="L8" s="138" t="str">
        <f>LOOKUP(Observaciones[[#This Row],[Código Iteración]],CasoPrueba[Código Iteración],CasoPrueba[Código de REQ])</f>
        <v>INSPECCIÓN</v>
      </c>
    </row>
    <row r="9" spans="1:14" ht="36">
      <c r="A9" s="138" t="s">
        <v>211</v>
      </c>
      <c r="B9" s="138" t="s">
        <v>209</v>
      </c>
      <c r="C9" s="182" t="str">
        <f>VLOOKUP(Observaciones[Código Iteración],CasoPrueba[[#All],[Código Iteración]:[Prioridad]],7,TRUE)</f>
        <v>Baja</v>
      </c>
      <c r="D9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9" s="138" t="s">
        <v>44</v>
      </c>
      <c r="F9" s="145">
        <f>VLOOKUP(Observaciones[Código Iteración],CasoPrueba[[#All],[Código Iteración]:[Fecha Real]],12,TRUE)</f>
        <v>41169</v>
      </c>
      <c r="G9" s="145">
        <v>41169</v>
      </c>
      <c r="H9" s="146" t="s">
        <v>171</v>
      </c>
      <c r="I9" s="138" t="s">
        <v>226</v>
      </c>
      <c r="J9" s="138" t="s">
        <v>234</v>
      </c>
      <c r="K9" s="138">
        <f>IF((Observaciones[[#This Row],[Fecha Levant.]]-Observaciones[[#This Row],[Fecha Detección]])&gt;=0,Observaciones[[#This Row],[Fecha Levant.]]-Observaciones[[#This Row],[Fecha Detección]]+1,0)</f>
        <v>1</v>
      </c>
      <c r="L9" s="138" t="str">
        <f>LOOKUP(Observaciones[[#This Row],[Código Iteración]],CasoPrueba[Código Iteración],CasoPrueba[Código de REQ])</f>
        <v>INSPECCIÓN</v>
      </c>
    </row>
    <row r="10" spans="1:14" ht="24">
      <c r="A10" s="138" t="s">
        <v>212</v>
      </c>
      <c r="B10" s="138" t="s">
        <v>209</v>
      </c>
      <c r="C10" s="183" t="str">
        <f>VLOOKUP(Observaciones[Código Iteración],CasoPrueba[[#All],[Código Iteración]:[Prioridad]],7,TRUE)</f>
        <v>Baja</v>
      </c>
      <c r="D10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10" s="138" t="s">
        <v>44</v>
      </c>
      <c r="F10" s="145">
        <f>VLOOKUP(Observaciones[Código Iteración],CasoPrueba[[#All],[Código Iteración]:[Fecha Real]],12,TRUE)</f>
        <v>41169</v>
      </c>
      <c r="G10" s="145">
        <v>41169</v>
      </c>
      <c r="H10" s="146" t="s">
        <v>171</v>
      </c>
      <c r="I10" s="138" t="s">
        <v>232</v>
      </c>
      <c r="J10" s="138" t="s">
        <v>236</v>
      </c>
      <c r="K10" s="138">
        <f>IF((Observaciones[[#This Row],[Fecha Levant.]]-Observaciones[[#This Row],[Fecha Detección]])&gt;=0,Observaciones[[#This Row],[Fecha Levant.]]-Observaciones[[#This Row],[Fecha Detección]]+1,0)</f>
        <v>1</v>
      </c>
      <c r="L10" s="138" t="str">
        <f>LOOKUP(Observaciones[[#This Row],[Código Iteración]],CasoPrueba[Código Iteración],CasoPrueba[Código de REQ])</f>
        <v>INSPECCIÓN</v>
      </c>
    </row>
    <row r="11" spans="1:14" ht="24">
      <c r="A11" s="138" t="s">
        <v>213</v>
      </c>
      <c r="B11" s="138" t="s">
        <v>209</v>
      </c>
      <c r="C11" s="182" t="str">
        <f>VLOOKUP(Observaciones[Código Iteración],CasoPrueba[[#All],[Código Iteración]:[Prioridad]],7,TRUE)</f>
        <v>Baja</v>
      </c>
      <c r="D11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11" s="138" t="s">
        <v>44</v>
      </c>
      <c r="F11" s="145">
        <f>VLOOKUP(Observaciones[Código Iteración],CasoPrueba[[#All],[Código Iteración]:[Fecha Real]],12,TRUE)</f>
        <v>41169</v>
      </c>
      <c r="G11" s="145">
        <v>41170</v>
      </c>
      <c r="H11" s="146" t="s">
        <v>171</v>
      </c>
      <c r="I11" s="138" t="s">
        <v>233</v>
      </c>
      <c r="J11" s="138" t="s">
        <v>237</v>
      </c>
      <c r="K11" s="138">
        <f>IF((Observaciones[[#This Row],[Fecha Levant.]]-Observaciones[[#This Row],[Fecha Detección]])&gt;=0,Observaciones[[#This Row],[Fecha Levant.]]-Observaciones[[#This Row],[Fecha Detección]]+1,0)</f>
        <v>2</v>
      </c>
      <c r="L11" s="138" t="str">
        <f>LOOKUP(Observaciones[[#This Row],[Código Iteración]],CasoPrueba[Código Iteración],CasoPrueba[Código de REQ])</f>
        <v>INSPECCIÓN</v>
      </c>
    </row>
    <row r="12" spans="1:14" ht="24">
      <c r="A12" s="138" t="s">
        <v>214</v>
      </c>
      <c r="B12" s="138" t="s">
        <v>209</v>
      </c>
      <c r="C12" s="183" t="str">
        <f>VLOOKUP(Observaciones[Código Iteración],CasoPrueba[[#All],[Código Iteración]:[Prioridad]],7,TRUE)</f>
        <v>Baja</v>
      </c>
      <c r="D12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12" s="138" t="s">
        <v>44</v>
      </c>
      <c r="F12" s="145">
        <f>VLOOKUP(Observaciones[Código Iteración],CasoPrueba[[#All],[Código Iteración]:[Fecha Real]],12,TRUE)</f>
        <v>41169</v>
      </c>
      <c r="G12" s="145">
        <v>41170</v>
      </c>
      <c r="H12" s="146" t="s">
        <v>171</v>
      </c>
      <c r="I12" s="138" t="s">
        <v>228</v>
      </c>
      <c r="J12" s="138" t="s">
        <v>238</v>
      </c>
      <c r="K12" s="138">
        <f>IF((Observaciones[[#This Row],[Fecha Levant.]]-Observaciones[[#This Row],[Fecha Detección]])&gt;=0,Observaciones[[#This Row],[Fecha Levant.]]-Observaciones[[#This Row],[Fecha Detección]]+1,0)</f>
        <v>2</v>
      </c>
      <c r="L12" s="138" t="str">
        <f>LOOKUP(Observaciones[[#This Row],[Código Iteración]],CasoPrueba[Código Iteración],CasoPrueba[Código de REQ])</f>
        <v>INSPECCIÓN</v>
      </c>
    </row>
    <row r="13" spans="1:14" ht="24">
      <c r="A13" s="138" t="s">
        <v>215</v>
      </c>
      <c r="B13" s="138" t="s">
        <v>209</v>
      </c>
      <c r="C13" s="182" t="str">
        <f>VLOOKUP(Observaciones[Código Iteración],CasoPrueba[[#All],[Código Iteración]:[Prioridad]],7,TRUE)</f>
        <v>Baja</v>
      </c>
      <c r="D13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13" s="138" t="s">
        <v>44</v>
      </c>
      <c r="F13" s="145">
        <f>VLOOKUP(Observaciones[Código Iteración],CasoPrueba[[#All],[Código Iteración]:[Fecha Real]],12,TRUE)</f>
        <v>41169</v>
      </c>
      <c r="G13" s="145">
        <v>41170</v>
      </c>
      <c r="H13" s="146" t="s">
        <v>171</v>
      </c>
      <c r="I13" s="138" t="s">
        <v>229</v>
      </c>
      <c r="J13" s="138" t="s">
        <v>239</v>
      </c>
      <c r="K13" s="138">
        <f>IF((Observaciones[[#This Row],[Fecha Levant.]]-Observaciones[[#This Row],[Fecha Detección]])&gt;=0,Observaciones[[#This Row],[Fecha Levant.]]-Observaciones[[#This Row],[Fecha Detección]]+1,0)</f>
        <v>2</v>
      </c>
      <c r="L13" s="138" t="str">
        <f>LOOKUP(Observaciones[[#This Row],[Código Iteración]],CasoPrueba[Código Iteración],CasoPrueba[Código de REQ])</f>
        <v>INSPECCIÓN</v>
      </c>
    </row>
    <row r="14" spans="1:14" ht="24">
      <c r="A14" s="138" t="s">
        <v>216</v>
      </c>
      <c r="B14" s="138" t="s">
        <v>209</v>
      </c>
      <c r="C14" s="183" t="str">
        <f>VLOOKUP(Observaciones[Código Iteración],CasoPrueba[[#All],[Código Iteración]:[Prioridad]],7,TRUE)</f>
        <v>Baja</v>
      </c>
      <c r="D14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14" s="138" t="s">
        <v>44</v>
      </c>
      <c r="F14" s="145">
        <f>VLOOKUP(Observaciones[Código Iteración],CasoPrueba[[#All],[Código Iteración]:[Fecha Real]],12,TRUE)</f>
        <v>41169</v>
      </c>
      <c r="G14" s="145">
        <v>41170</v>
      </c>
      <c r="H14" s="146" t="s">
        <v>171</v>
      </c>
      <c r="I14" s="138" t="s">
        <v>230</v>
      </c>
      <c r="J14" s="138" t="s">
        <v>241</v>
      </c>
      <c r="K14" s="138">
        <f>IF((Observaciones[[#This Row],[Fecha Levant.]]-Observaciones[[#This Row],[Fecha Detección]])&gt;=0,Observaciones[[#This Row],[Fecha Levant.]]-Observaciones[[#This Row],[Fecha Detección]]+1,0)</f>
        <v>2</v>
      </c>
      <c r="L14" s="138" t="str">
        <f>LOOKUP(Observaciones[[#This Row],[Código Iteración]],CasoPrueba[Código Iteración],CasoPrueba[Código de REQ])</f>
        <v>INSPECCIÓN</v>
      </c>
    </row>
    <row r="15" spans="1:14" ht="24">
      <c r="A15" s="138" t="s">
        <v>217</v>
      </c>
      <c r="B15" s="138" t="s">
        <v>209</v>
      </c>
      <c r="C15" s="182" t="str">
        <f>VLOOKUP(Observaciones[Código Iteración],CasoPrueba[[#All],[Código Iteración]:[Prioridad]],7,TRUE)</f>
        <v>Baja</v>
      </c>
      <c r="D15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15" s="138" t="s">
        <v>44</v>
      </c>
      <c r="F15" s="145">
        <f>VLOOKUP(Observaciones[Código Iteración],CasoPrueba[[#All],[Código Iteración]:[Fecha Real]],12,TRUE)</f>
        <v>41169</v>
      </c>
      <c r="G15" s="145">
        <v>41170</v>
      </c>
      <c r="H15" s="146" t="s">
        <v>171</v>
      </c>
      <c r="I15" s="138" t="s">
        <v>222</v>
      </c>
      <c r="J15" s="138" t="s">
        <v>240</v>
      </c>
      <c r="K15" s="138">
        <f>IF((Observaciones[[#This Row],[Fecha Levant.]]-Observaciones[[#This Row],[Fecha Detección]])&gt;=0,Observaciones[[#This Row],[Fecha Levant.]]-Observaciones[[#This Row],[Fecha Detección]]+1,0)</f>
        <v>2</v>
      </c>
      <c r="L15" s="138" t="str">
        <f>LOOKUP(Observaciones[[#This Row],[Código Iteración]],CasoPrueba[Código Iteración],CasoPrueba[Código de REQ])</f>
        <v>INSPECCIÓN</v>
      </c>
    </row>
    <row r="16" spans="1:14" ht="24">
      <c r="A16" s="138" t="s">
        <v>246</v>
      </c>
      <c r="B16" s="138" t="s">
        <v>247</v>
      </c>
      <c r="C16" s="183" t="str">
        <f>VLOOKUP(Observaciones[Código Iteración],CasoPrueba[[#All],[Código Iteración]:[Prioridad]],7,TRUE)</f>
        <v>Baja</v>
      </c>
      <c r="D16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16" s="138" t="s">
        <v>44</v>
      </c>
      <c r="F16" s="145">
        <f>VLOOKUP(Observaciones[Código Iteración],CasoPrueba[[#All],[Código Iteración]:[Fecha Real]],12,TRUE)</f>
        <v>41171</v>
      </c>
      <c r="G16" s="145">
        <v>41171</v>
      </c>
      <c r="H16" s="146" t="s">
        <v>171</v>
      </c>
      <c r="I16" s="138" t="s">
        <v>263</v>
      </c>
      <c r="J16" s="138" t="s">
        <v>317</v>
      </c>
      <c r="K16" s="138">
        <f>IF((Observaciones[[#This Row],[Fecha Levant.]]-Observaciones[[#This Row],[Fecha Detección]])&gt;=0,Observaciones[[#This Row],[Fecha Levant.]]-Observaciones[[#This Row],[Fecha Detección]]+1,0)</f>
        <v>1</v>
      </c>
      <c r="L16" s="138" t="str">
        <f>LOOKUP(Observaciones[[#This Row],[Código Iteración]],CasoPrueba[Código Iteración],CasoPrueba[Código de REQ])</f>
        <v>INSPECCIÓN</v>
      </c>
    </row>
    <row r="17" spans="1:12">
      <c r="A17" s="138" t="s">
        <v>248</v>
      </c>
      <c r="B17" s="138" t="s">
        <v>247</v>
      </c>
      <c r="C17" s="182" t="str">
        <f>VLOOKUP(Observaciones[Código Iteración],CasoPrueba[[#All],[Código Iteración]:[Prioridad]],7,TRUE)</f>
        <v>Baja</v>
      </c>
      <c r="D17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17" s="138" t="s">
        <v>44</v>
      </c>
      <c r="F17" s="145">
        <f>VLOOKUP(Observaciones[Código Iteración],CasoPrueba[[#All],[Código Iteración]:[Fecha Real]],12,TRUE)</f>
        <v>41171</v>
      </c>
      <c r="G17" s="145">
        <v>41171</v>
      </c>
      <c r="H17" s="146" t="s">
        <v>171</v>
      </c>
      <c r="I17" s="138" t="s">
        <v>249</v>
      </c>
      <c r="J17" s="138" t="s">
        <v>318</v>
      </c>
      <c r="K17" s="138">
        <f>IF((Observaciones[[#This Row],[Fecha Levant.]]-Observaciones[[#This Row],[Fecha Detección]])&gt;=0,Observaciones[[#This Row],[Fecha Levant.]]-Observaciones[[#This Row],[Fecha Detección]]+1,0)</f>
        <v>1</v>
      </c>
      <c r="L17" s="138" t="str">
        <f>LOOKUP(Observaciones[[#This Row],[Código Iteración]],CasoPrueba[Código Iteración],CasoPrueba[Código de REQ])</f>
        <v>INSPECCIÓN</v>
      </c>
    </row>
    <row r="18" spans="1:12" ht="24">
      <c r="A18" s="138" t="s">
        <v>260</v>
      </c>
      <c r="B18" s="138" t="s">
        <v>252</v>
      </c>
      <c r="C18" s="138" t="str">
        <f>VLOOKUP(Observaciones[Código Iteración],CasoPrueba[[#All],[Código Iteración]:[Prioridad]],7,TRUE)</f>
        <v>Baja</v>
      </c>
      <c r="D18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18" s="138" t="s">
        <v>44</v>
      </c>
      <c r="F18" s="145">
        <f>VLOOKUP(Observaciones[Código Iteración],CasoPrueba[[#All],[Código Iteración]:[Fecha Real]],12,TRUE)</f>
        <v>41179</v>
      </c>
      <c r="G18" s="145">
        <v>41190</v>
      </c>
      <c r="H18" s="146" t="s">
        <v>171</v>
      </c>
      <c r="I18" s="138" t="s">
        <v>264</v>
      </c>
      <c r="J18" s="138" t="s">
        <v>317</v>
      </c>
      <c r="K18" s="138">
        <f>IF((Observaciones[[#This Row],[Fecha Levant.]]-Observaciones[[#This Row],[Fecha Detección]])&gt;=0,Observaciones[[#This Row],[Fecha Levant.]]-Observaciones[[#This Row],[Fecha Detección]]+1,0)</f>
        <v>12</v>
      </c>
      <c r="L18" s="138" t="str">
        <f>LOOKUP(Observaciones[[#This Row],[Código Iteración]],CasoPrueba[Código Iteración],CasoPrueba[Código de REQ])</f>
        <v>INSPECCIÓN</v>
      </c>
    </row>
    <row r="19" spans="1:12" ht="24">
      <c r="A19" s="138" t="s">
        <v>261</v>
      </c>
      <c r="B19" s="138" t="s">
        <v>252</v>
      </c>
      <c r="C19" s="138" t="str">
        <f>VLOOKUP(Observaciones[Código Iteración],CasoPrueba[[#All],[Código Iteración]:[Prioridad]],7,TRUE)</f>
        <v>Baja</v>
      </c>
      <c r="D19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19" s="138" t="s">
        <v>44</v>
      </c>
      <c r="F19" s="145">
        <f>VLOOKUP(Observaciones[Código Iteración],CasoPrueba[[#All],[Código Iteración]:[Fecha Real]],12,TRUE)</f>
        <v>41179</v>
      </c>
      <c r="G19" s="145">
        <v>41190</v>
      </c>
      <c r="H19" s="146" t="s">
        <v>171</v>
      </c>
      <c r="I19" s="138" t="s">
        <v>324</v>
      </c>
      <c r="J19" s="138" t="s">
        <v>319</v>
      </c>
      <c r="K19" s="138">
        <f>IF((Observaciones[[#This Row],[Fecha Levant.]]-Observaciones[[#This Row],[Fecha Detección]])&gt;=0,Observaciones[[#This Row],[Fecha Levant.]]-Observaciones[[#This Row],[Fecha Detección]]+1,0)</f>
        <v>12</v>
      </c>
      <c r="L19" s="138" t="str">
        <f>LOOKUP(Observaciones[[#This Row],[Código Iteración]],CasoPrueba[Código Iteración],CasoPrueba[Código de REQ])</f>
        <v>INSPECCIÓN</v>
      </c>
    </row>
    <row r="20" spans="1:12">
      <c r="A20" s="138" t="s">
        <v>266</v>
      </c>
      <c r="B20" s="138" t="s">
        <v>252</v>
      </c>
      <c r="C20" s="138" t="str">
        <f>VLOOKUP(Observaciones[Código Iteración],CasoPrueba[[#All],[Código Iteración]:[Prioridad]],7,TRUE)</f>
        <v>Baja</v>
      </c>
      <c r="D20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20" s="138" t="s">
        <v>44</v>
      </c>
      <c r="F20" s="145">
        <f>VLOOKUP(Observaciones[Código Iteración],CasoPrueba[[#All],[Código Iteración]:[Fecha Real]],12,TRUE)</f>
        <v>41179</v>
      </c>
      <c r="G20" s="145">
        <v>41190</v>
      </c>
      <c r="H20" s="146" t="s">
        <v>171</v>
      </c>
      <c r="I20" s="138" t="s">
        <v>268</v>
      </c>
      <c r="J20" s="138" t="s">
        <v>320</v>
      </c>
      <c r="K20" s="138">
        <f>IF((Observaciones[[#This Row],[Fecha Levant.]]-Observaciones[[#This Row],[Fecha Detección]])&gt;=0,Observaciones[[#This Row],[Fecha Levant.]]-Observaciones[[#This Row],[Fecha Detección]]+1,0)</f>
        <v>12</v>
      </c>
      <c r="L20" s="138" t="str">
        <f>LOOKUP(Observaciones[[#This Row],[Código Iteración]],CasoPrueba[Código Iteración],CasoPrueba[Código de REQ])</f>
        <v>INSPECCIÓN</v>
      </c>
    </row>
    <row r="21" spans="1:12">
      <c r="A21" s="138" t="s">
        <v>267</v>
      </c>
      <c r="B21" s="138" t="s">
        <v>252</v>
      </c>
      <c r="C21" s="138" t="str">
        <f>VLOOKUP(Observaciones[Código Iteración],CasoPrueba[[#All],[Código Iteración]:[Prioridad]],7,TRUE)</f>
        <v>Baja</v>
      </c>
      <c r="D21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21" s="138" t="s">
        <v>44</v>
      </c>
      <c r="F21" s="145">
        <f>VLOOKUP(Observaciones[Código Iteración],CasoPrueba[[#All],[Código Iteración]:[Fecha Real]],12,TRUE)</f>
        <v>41179</v>
      </c>
      <c r="G21" s="145">
        <v>41190</v>
      </c>
      <c r="H21" s="146" t="s">
        <v>171</v>
      </c>
      <c r="I21" s="138" t="s">
        <v>269</v>
      </c>
      <c r="J21" s="138" t="s">
        <v>320</v>
      </c>
      <c r="K21" s="138">
        <f>IF((Observaciones[[#This Row],[Fecha Levant.]]-Observaciones[[#This Row],[Fecha Detección]])&gt;=0,Observaciones[[#This Row],[Fecha Levant.]]-Observaciones[[#This Row],[Fecha Detección]]+1,0)</f>
        <v>12</v>
      </c>
      <c r="L21" s="138" t="str">
        <f>LOOKUP(Observaciones[[#This Row],[Código Iteración]],CasoPrueba[Código Iteración],CasoPrueba[Código de REQ])</f>
        <v>INSPECCIÓN</v>
      </c>
    </row>
    <row r="22" spans="1:12" ht="48">
      <c r="A22" s="138" t="s">
        <v>283</v>
      </c>
      <c r="B22" s="138" t="s">
        <v>282</v>
      </c>
      <c r="C22" s="190" t="str">
        <f>VLOOKUP(Observaciones[Código Iteración],CasoPrueba[[#All],[Código Iteración]:[Prioridad]],7,TRUE)</f>
        <v>Media</v>
      </c>
      <c r="D22" s="190" t="str">
        <f>IF(Observaciones[[#This Row],[Prioridad]]="Baja", "Severidad 3", IF(Observaciones[[#This Row],[Prioridad]]="Media", "Severidad 2", IF(Observaciones[[#This Row],[Prioridad]]="Media", "Severidad 1")))</f>
        <v>Severidad 2</v>
      </c>
      <c r="E22" s="190" t="s">
        <v>44</v>
      </c>
      <c r="F22" s="191">
        <f>VLOOKUP(Observaciones[Código Iteración],CasoPrueba[[#All],[Código Iteración]:[Fecha Real]],12,TRUE)</f>
        <v>41181</v>
      </c>
      <c r="G22" s="191">
        <v>41190</v>
      </c>
      <c r="H22" s="192" t="s">
        <v>171</v>
      </c>
      <c r="I22" s="138" t="s">
        <v>285</v>
      </c>
      <c r="J22" s="138" t="s">
        <v>323</v>
      </c>
      <c r="K22" s="190">
        <f>IF((Observaciones[[#This Row],[Fecha Levant.]]-Observaciones[[#This Row],[Fecha Detección]])&gt;=0,Observaciones[[#This Row],[Fecha Levant.]]-Observaciones[[#This Row],[Fecha Detección]]+1,0)</f>
        <v>10</v>
      </c>
      <c r="L22" s="190" t="str">
        <f>LOOKUP(Observaciones[[#This Row],[Código Iteración]],CasoPrueba[Código Iteración],CasoPrueba[Código de REQ])</f>
        <v>INSPECCIÓN</v>
      </c>
    </row>
    <row r="23" spans="1:12" ht="24">
      <c r="A23" s="138" t="s">
        <v>286</v>
      </c>
      <c r="B23" s="138" t="s">
        <v>282</v>
      </c>
      <c r="C23" s="138" t="str">
        <f>VLOOKUP(Observaciones[Código Iteración],CasoPrueba[[#All],[Código Iteración]:[Prioridad]],7,TRUE)</f>
        <v>Media</v>
      </c>
      <c r="D23" s="138" t="str">
        <f>IF(Observaciones[[#This Row],[Prioridad]]="Baja", "Severidad 3", IF(Observaciones[[#This Row],[Prioridad]]="Media", "Severidad 2", IF(Observaciones[[#This Row],[Prioridad]]="Media", "Severidad 1")))</f>
        <v>Severidad 2</v>
      </c>
      <c r="E23" s="138" t="s">
        <v>44</v>
      </c>
      <c r="F23" s="145">
        <f>VLOOKUP(Observaciones[Código Iteración],CasoPrueba[[#All],[Código Iteración]:[Fecha Real]],12,TRUE)</f>
        <v>41181</v>
      </c>
      <c r="G23" s="145">
        <v>41190</v>
      </c>
      <c r="H23" s="146" t="s">
        <v>171</v>
      </c>
      <c r="I23" s="138" t="s">
        <v>287</v>
      </c>
      <c r="J23" s="138" t="s">
        <v>314</v>
      </c>
      <c r="K23" s="138">
        <f>IF((Observaciones[[#This Row],[Fecha Levant.]]-Observaciones[[#This Row],[Fecha Detección]])&gt;=0,Observaciones[[#This Row],[Fecha Levant.]]-Observaciones[[#This Row],[Fecha Detección]]+1,0)</f>
        <v>10</v>
      </c>
      <c r="L23" s="138" t="str">
        <f>LOOKUP(Observaciones[[#This Row],[Código Iteración]],CasoPrueba[Código Iteración],CasoPrueba[Código de REQ])</f>
        <v>INSPECCIÓN</v>
      </c>
    </row>
    <row r="24" spans="1:12" ht="36">
      <c r="A24" s="138" t="s">
        <v>289</v>
      </c>
      <c r="B24" s="138" t="s">
        <v>282</v>
      </c>
      <c r="C24" s="138" t="str">
        <f>VLOOKUP(Observaciones[Código Iteración],CasoPrueba[[#All],[Código Iteración]:[Prioridad]],7,TRUE)</f>
        <v>Media</v>
      </c>
      <c r="D24" s="138" t="str">
        <f>IF(Observaciones[[#This Row],[Prioridad]]="Baja", "Severidad 3", IF(Observaciones[[#This Row],[Prioridad]]="Media", "Severidad 2", IF(Observaciones[[#This Row],[Prioridad]]="Media", "Severidad 1")))</f>
        <v>Severidad 2</v>
      </c>
      <c r="E24" s="138" t="s">
        <v>44</v>
      </c>
      <c r="F24" s="145">
        <f>VLOOKUP(Observaciones[Código Iteración],CasoPrueba[[#All],[Código Iteración]:[Fecha Real]],12,TRUE)</f>
        <v>41181</v>
      </c>
      <c r="G24" s="145">
        <v>41190</v>
      </c>
      <c r="H24" s="146" t="s">
        <v>171</v>
      </c>
      <c r="I24" s="138" t="s">
        <v>288</v>
      </c>
      <c r="J24" s="138" t="s">
        <v>315</v>
      </c>
      <c r="K24" s="138">
        <f>IF((Observaciones[[#This Row],[Fecha Levant.]]-Observaciones[[#This Row],[Fecha Detección]])&gt;=0,Observaciones[[#This Row],[Fecha Levant.]]-Observaciones[[#This Row],[Fecha Detección]]+1,0)</f>
        <v>10</v>
      </c>
      <c r="L24" s="138" t="str">
        <f>LOOKUP(Observaciones[[#This Row],[Código Iteración]],CasoPrueba[Código Iteración],CasoPrueba[Código de REQ])</f>
        <v>INSPECCIÓN</v>
      </c>
    </row>
    <row r="25" spans="1:12" ht="36">
      <c r="A25" s="138" t="s">
        <v>290</v>
      </c>
      <c r="B25" s="138" t="s">
        <v>282</v>
      </c>
      <c r="C25" s="138" t="str">
        <f>VLOOKUP(Observaciones[Código Iteración],CasoPrueba[[#All],[Código Iteración]:[Prioridad]],7,TRUE)</f>
        <v>Media</v>
      </c>
      <c r="D25" s="138" t="str">
        <f>IF(Observaciones[[#This Row],[Prioridad]]="Baja", "Severidad 3", IF(Observaciones[[#This Row],[Prioridad]]="Media", "Severidad 2", IF(Observaciones[[#This Row],[Prioridad]]="Media", "Severidad 1")))</f>
        <v>Severidad 2</v>
      </c>
      <c r="E25" s="138" t="s">
        <v>44</v>
      </c>
      <c r="F25" s="145">
        <f>VLOOKUP(Observaciones[Código Iteración],CasoPrueba[[#All],[Código Iteración]:[Fecha Real]],12,TRUE)</f>
        <v>41181</v>
      </c>
      <c r="G25" s="145">
        <v>41190</v>
      </c>
      <c r="H25" s="146" t="s">
        <v>171</v>
      </c>
      <c r="I25" s="138" t="s">
        <v>296</v>
      </c>
      <c r="J25" s="138" t="s">
        <v>325</v>
      </c>
      <c r="K25" s="138">
        <f>IF((Observaciones[[#This Row],[Fecha Levant.]]-Observaciones[[#This Row],[Fecha Detección]])&gt;=0,Observaciones[[#This Row],[Fecha Levant.]]-Observaciones[[#This Row],[Fecha Detección]]+1,0)</f>
        <v>10</v>
      </c>
      <c r="L25" s="138" t="str">
        <f>LOOKUP(Observaciones[[#This Row],[Código Iteración]],CasoPrueba[Código Iteración],CasoPrueba[Código de REQ])</f>
        <v>INSPECCIÓN</v>
      </c>
    </row>
    <row r="26" spans="1:12" ht="24">
      <c r="A26" s="138" t="s">
        <v>300</v>
      </c>
      <c r="B26" s="138" t="s">
        <v>282</v>
      </c>
      <c r="C26" s="138" t="str">
        <f>VLOOKUP(Observaciones[Código Iteración],CasoPrueba[[#All],[Código Iteración]:[Prioridad]],7,TRUE)</f>
        <v>Media</v>
      </c>
      <c r="D26" s="138" t="str">
        <f>IF(Observaciones[[#This Row],[Prioridad]]="Baja", "Severidad 3", IF(Observaciones[[#This Row],[Prioridad]]="Media", "Severidad 2", IF(Observaciones[[#This Row],[Prioridad]]="Media", "Severidad 1")))</f>
        <v>Severidad 2</v>
      </c>
      <c r="E26" s="138" t="s">
        <v>44</v>
      </c>
      <c r="F26" s="145">
        <f>VLOOKUP(Observaciones[Código Iteración],CasoPrueba[[#All],[Código Iteración]:[Fecha Real]],12,TRUE)</f>
        <v>41181</v>
      </c>
      <c r="G26" s="145">
        <v>41190</v>
      </c>
      <c r="H26" s="146" t="s">
        <v>171</v>
      </c>
      <c r="I26" s="138" t="s">
        <v>299</v>
      </c>
      <c r="J26" s="138" t="s">
        <v>321</v>
      </c>
      <c r="K26" s="138">
        <f>IF((Observaciones[[#This Row],[Fecha Levant.]]-Observaciones[[#This Row],[Fecha Detección]])&gt;=0,Observaciones[[#This Row],[Fecha Levant.]]-Observaciones[[#This Row],[Fecha Detección]]+1,0)</f>
        <v>10</v>
      </c>
      <c r="L26" s="138" t="str">
        <f>LOOKUP(Observaciones[[#This Row],[Código Iteración]],CasoPrueba[Código Iteración],CasoPrueba[Código de REQ])</f>
        <v>INSPECCIÓN</v>
      </c>
    </row>
    <row r="27" spans="1:12" ht="36">
      <c r="A27" s="138" t="s">
        <v>302</v>
      </c>
      <c r="B27" s="138" t="s">
        <v>282</v>
      </c>
      <c r="C27" s="138" t="str">
        <f>VLOOKUP(Observaciones[Código Iteración],CasoPrueba[[#All],[Código Iteración]:[Prioridad]],7,TRUE)</f>
        <v>Media</v>
      </c>
      <c r="D27" s="138" t="str">
        <f>IF(Observaciones[[#This Row],[Prioridad]]="Baja", "Severidad 3", IF(Observaciones[[#This Row],[Prioridad]]="Media", "Severidad 2", IF(Observaciones[[#This Row],[Prioridad]]="Media", "Severidad 1")))</f>
        <v>Severidad 2</v>
      </c>
      <c r="E27" s="138" t="s">
        <v>44</v>
      </c>
      <c r="F27" s="145">
        <f>VLOOKUP(Observaciones[Código Iteración],CasoPrueba[[#All],[Código Iteración]:[Fecha Real]],12,TRUE)</f>
        <v>41181</v>
      </c>
      <c r="G27" s="145">
        <v>41190</v>
      </c>
      <c r="H27" s="146" t="s">
        <v>171</v>
      </c>
      <c r="I27" s="138" t="s">
        <v>298</v>
      </c>
      <c r="J27" s="138" t="s">
        <v>322</v>
      </c>
      <c r="K27" s="138">
        <f>IF((Observaciones[[#This Row],[Fecha Levant.]]-Observaciones[[#This Row],[Fecha Detección]])&gt;=0,Observaciones[[#This Row],[Fecha Levant.]]-Observaciones[[#This Row],[Fecha Detección]]+1,0)</f>
        <v>10</v>
      </c>
      <c r="L27" s="138" t="str">
        <f>LOOKUP(Observaciones[[#This Row],[Código Iteración]],CasoPrueba[Código Iteración],CasoPrueba[Código de REQ])</f>
        <v>INSPECCIÓN</v>
      </c>
    </row>
    <row r="28" spans="1:12" ht="36">
      <c r="A28" s="138" t="s">
        <v>313</v>
      </c>
      <c r="B28" s="138" t="s">
        <v>282</v>
      </c>
      <c r="C28" s="138" t="str">
        <f>VLOOKUP(Observaciones[Código Iteración],CasoPrueba[[#All],[Código Iteración]:[Prioridad]],7,TRUE)</f>
        <v>Media</v>
      </c>
      <c r="D28" s="138" t="str">
        <f>IF(Observaciones[[#This Row],[Prioridad]]="Baja", "Severidad 3", IF(Observaciones[[#This Row],[Prioridad]]="Media", "Severidad 2", IF(Observaciones[[#This Row],[Prioridad]]="Media", "Severidad 1")))</f>
        <v>Severidad 2</v>
      </c>
      <c r="E28" s="138" t="s">
        <v>44</v>
      </c>
      <c r="F28" s="145">
        <f>VLOOKUP(Observaciones[Código Iteración],CasoPrueba[[#All],[Código Iteración]:[Fecha Real]],12,TRUE)</f>
        <v>41181</v>
      </c>
      <c r="G28" s="145">
        <v>41190</v>
      </c>
      <c r="H28" s="146" t="s">
        <v>171</v>
      </c>
      <c r="I28" s="138" t="s">
        <v>301</v>
      </c>
      <c r="J28" s="138" t="s">
        <v>316</v>
      </c>
      <c r="K28" s="138">
        <f>IF((Observaciones[[#This Row],[Fecha Levant.]]-Observaciones[[#This Row],[Fecha Detección]])&gt;=0,Observaciones[[#This Row],[Fecha Levant.]]-Observaciones[[#This Row],[Fecha Detección]]+1,0)</f>
        <v>10</v>
      </c>
      <c r="L28" s="138" t="str">
        <f>LOOKUP(Observaciones[[#This Row],[Código Iteración]],CasoPrueba[Código Iteración],CasoPrueba[Código de REQ])</f>
        <v>INSPECCIÓN</v>
      </c>
    </row>
  </sheetData>
  <mergeCells count="1">
    <mergeCell ref="A1:K1"/>
  </mergeCells>
  <dataValidations count="2">
    <dataValidation type="list" allowBlank="1" showInputMessage="1" showErrorMessage="1" sqref="H3:H28">
      <formula1>"Eduardo Arratia,Roberto Taype"</formula1>
    </dataValidation>
    <dataValidation type="list" allowBlank="1" showInputMessage="1" showErrorMessage="1" sqref="D3:D28">
      <formula1>"Severidad 1,Severidad 2,Severidad 3,Severidad 4"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ctualizarObservaciones">
                <anchor moveWithCells="1">
                  <from>
                    <xdr:col>0</xdr:col>
                    <xdr:colOff>47625</xdr:colOff>
                    <xdr:row>0</xdr:row>
                    <xdr:rowOff>104775</xdr:rowOff>
                  </from>
                  <to>
                    <xdr:col>5</xdr:col>
                    <xdr:colOff>257175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Resumen!$P$23:$P$25</xm:f>
          </x14:formula1>
          <xm:sqref>E3:E28</xm:sqref>
        </x14:dataValidation>
        <x14:dataValidation type="list" allowBlank="1" showInputMessage="1" showErrorMessage="1">
          <x14:formula1>
            <xm:f>Resumen!$P$11:$P$14</xm:f>
          </x14:formula1>
          <xm:sqref>C3:C28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H31"/>
  <sheetViews>
    <sheetView topLeftCell="A11" workbookViewId="0">
      <selection sqref="A1:G1"/>
    </sheetView>
  </sheetViews>
  <sheetFormatPr baseColWidth="10" defaultColWidth="0" defaultRowHeight="15"/>
  <cols>
    <col min="1" max="1" width="14.28515625" bestFit="1" customWidth="1"/>
    <col min="2" max="2" width="21.140625" bestFit="1" customWidth="1"/>
    <col min="3" max="3" width="14" bestFit="1" customWidth="1"/>
    <col min="4" max="4" width="14.85546875" bestFit="1" customWidth="1"/>
    <col min="5" max="5" width="20.85546875" bestFit="1" customWidth="1"/>
    <col min="6" max="6" width="72.85546875" customWidth="1"/>
    <col min="7" max="7" width="17.42578125" bestFit="1" customWidth="1"/>
    <col min="8" max="8" width="9.140625" customWidth="1"/>
    <col min="9" max="16384" width="9.140625" hidden="1"/>
  </cols>
  <sheetData>
    <row r="1" spans="1:8" ht="31.5">
      <c r="A1" s="220" t="s">
        <v>91</v>
      </c>
      <c r="B1" s="220"/>
      <c r="C1" s="220"/>
      <c r="D1" s="220"/>
      <c r="E1" s="220"/>
      <c r="F1" s="220"/>
      <c r="G1" s="220"/>
      <c r="H1" s="176"/>
    </row>
    <row r="2" spans="1:8">
      <c r="A2" s="164" t="s">
        <v>85</v>
      </c>
      <c r="B2" s="165" t="s">
        <v>86</v>
      </c>
      <c r="C2" s="165" t="s">
        <v>74</v>
      </c>
      <c r="D2" s="165" t="s">
        <v>75</v>
      </c>
      <c r="E2" s="166" t="s">
        <v>88</v>
      </c>
      <c r="F2" s="165" t="s">
        <v>1</v>
      </c>
      <c r="G2" s="167" t="s">
        <v>153</v>
      </c>
      <c r="H2" s="176"/>
    </row>
    <row r="3" spans="1:8" s="4" customFormat="1">
      <c r="A3" s="187" t="s">
        <v>177</v>
      </c>
      <c r="B3" s="161" t="s">
        <v>84</v>
      </c>
      <c r="C3" s="161" t="s">
        <v>26</v>
      </c>
      <c r="D3" s="161" t="str">
        <f>IF(Tabla7[[#This Row],[Prioridad]]="Baja", "Severidad 3", IF(Tabla7[[#This Row],[Prioridad]]="Media", "Severidad 2", IF(Tabla7[[#This Row],[Prioridad]]="Media", "Severidad 1")))</f>
        <v>Severidad 3</v>
      </c>
      <c r="E3" s="162">
        <f>VLOOKUP(Tabla7[[#This Row],[Caso de Prueba]],CasoPrueba[[#All],[Código Iteración]:[Fecha Real]],12,TRUE)</f>
        <v>41148</v>
      </c>
      <c r="F3" s="163" t="s">
        <v>187</v>
      </c>
      <c r="G3" s="170" t="s">
        <v>195</v>
      </c>
      <c r="H3" s="65"/>
    </row>
    <row r="4" spans="1:8" s="4" customFormat="1">
      <c r="A4" s="187" t="s">
        <v>178</v>
      </c>
      <c r="B4" s="161" t="s">
        <v>84</v>
      </c>
      <c r="C4" s="161" t="s">
        <v>25</v>
      </c>
      <c r="D4" s="161" t="str">
        <f>IF(Tabla7[[#This Row],[Prioridad]]="Baja", "Severidad 3", IF(Tabla7[[#This Row],[Prioridad]]="Media", "Severidad 2", IF(Tabla7[[#This Row],[Prioridad]]="Media", "Severidad 1")))</f>
        <v>Severidad 2</v>
      </c>
      <c r="E4" s="162">
        <f>VLOOKUP(Tabla7[[#This Row],[Caso de Prueba]],CasoPrueba[[#All],[Código Iteración]:[Fecha Real]],12,TRUE)</f>
        <v>41148</v>
      </c>
      <c r="F4" s="163" t="s">
        <v>188</v>
      </c>
      <c r="G4" s="170" t="s">
        <v>196</v>
      </c>
      <c r="H4" s="65"/>
    </row>
    <row r="5" spans="1:8" s="4" customFormat="1" ht="25.5">
      <c r="A5" s="187" t="s">
        <v>179</v>
      </c>
      <c r="B5" s="161" t="s">
        <v>145</v>
      </c>
      <c r="C5" s="161" t="s">
        <v>26</v>
      </c>
      <c r="D5" s="161" t="str">
        <f>IF(Tabla7[[#This Row],[Prioridad]]="Baja", "Severidad 3", IF(Tabla7[[#This Row],[Prioridad]]="Media", "Severidad 2", IF(Tabla7[[#This Row],[Prioridad]]="Media", "Severidad 1")))</f>
        <v>Severidad 3</v>
      </c>
      <c r="E5" s="162">
        <f>VLOOKUP(Tabla7[[#This Row],[Caso de Prueba]],CasoPrueba[[#All],[Código Iteración]:[Fecha Real]],12,TRUE)</f>
        <v>41150</v>
      </c>
      <c r="F5" s="163" t="s">
        <v>189</v>
      </c>
      <c r="G5" s="170" t="s">
        <v>197</v>
      </c>
      <c r="H5" s="65"/>
    </row>
    <row r="6" spans="1:8">
      <c r="A6" s="187" t="s">
        <v>180</v>
      </c>
      <c r="B6" s="168" t="s">
        <v>146</v>
      </c>
      <c r="C6" s="161" t="s">
        <v>26</v>
      </c>
      <c r="D6" s="161" t="str">
        <f>IF(Tabla7[[#This Row],[Prioridad]]="Baja", "Severidad 3", IF(Tabla7[[#This Row],[Prioridad]]="Media", "Severidad 2", IF(Tabla7[[#This Row],[Prioridad]]="Media", "Severidad 1")))</f>
        <v>Severidad 3</v>
      </c>
      <c r="E6" s="162">
        <f>VLOOKUP(Tabla7[[#This Row],[Caso de Prueba]],CasoPrueba[[#All],[Código Iteración]:[Fecha Real]],12,TRUE)</f>
        <v>41153</v>
      </c>
      <c r="F6" s="171" t="s">
        <v>185</v>
      </c>
      <c r="G6" s="170" t="s">
        <v>198</v>
      </c>
      <c r="H6" s="176"/>
    </row>
    <row r="7" spans="1:8">
      <c r="A7" s="187" t="s">
        <v>181</v>
      </c>
      <c r="B7" s="168" t="s">
        <v>146</v>
      </c>
      <c r="C7" s="161" t="s">
        <v>26</v>
      </c>
      <c r="D7" s="161" t="str">
        <f>IF(Tabla7[[#This Row],[Prioridad]]="Baja", "Severidad 3", IF(Tabla7[[#This Row],[Prioridad]]="Media", "Severidad 2", IF(Tabla7[[#This Row],[Prioridad]]="Media", "Severidad 1")))</f>
        <v>Severidad 3</v>
      </c>
      <c r="E7" s="162">
        <f>VLOOKUP(Tabla7[[#This Row],[Caso de Prueba]],CasoPrueba[[#All],[Código Iteración]:[Fecha Real]],12,TRUE)</f>
        <v>41153</v>
      </c>
      <c r="F7" s="171" t="s">
        <v>186</v>
      </c>
      <c r="G7" s="170" t="s">
        <v>197</v>
      </c>
      <c r="H7" s="176"/>
    </row>
    <row r="8" spans="1:8" ht="25.5">
      <c r="A8" s="187" t="s">
        <v>182</v>
      </c>
      <c r="B8" s="168" t="s">
        <v>146</v>
      </c>
      <c r="C8" s="161" t="s">
        <v>26</v>
      </c>
      <c r="D8" s="161" t="str">
        <f>IF(Tabla7[[#This Row],[Prioridad]]="Baja", "Severidad 3", IF(Tabla7[[#This Row],[Prioridad]]="Media", "Severidad 2", IF(Tabla7[[#This Row],[Prioridad]]="Media", "Severidad 1")))</f>
        <v>Severidad 3</v>
      </c>
      <c r="E8" s="162">
        <f>VLOOKUP(Tabla7[[#This Row],[Caso de Prueba]],CasoPrueba[[#All],[Código Iteración]:[Fecha Real]],12,TRUE)</f>
        <v>41153</v>
      </c>
      <c r="F8" s="163" t="s">
        <v>190</v>
      </c>
      <c r="G8" s="170" t="s">
        <v>195</v>
      </c>
      <c r="H8" s="176"/>
    </row>
    <row r="9" spans="1:8">
      <c r="A9" s="187" t="s">
        <v>183</v>
      </c>
      <c r="B9" s="168" t="s">
        <v>146</v>
      </c>
      <c r="C9" s="161" t="s">
        <v>26</v>
      </c>
      <c r="D9" s="161" t="str">
        <f>IF(Tabla7[[#This Row],[Prioridad]]="Baja", "Severidad 3", IF(Tabla7[[#This Row],[Prioridad]]="Media", "Severidad 2", IF(Tabla7[[#This Row],[Prioridad]]="Media", "Severidad 1")))</f>
        <v>Severidad 3</v>
      </c>
      <c r="E9" s="162">
        <f>VLOOKUP(Tabla7[[#This Row],[Caso de Prueba]],CasoPrueba[[#All],[Código Iteración]:[Fecha Real]],12,TRUE)</f>
        <v>41153</v>
      </c>
      <c r="F9" s="163" t="s">
        <v>191</v>
      </c>
      <c r="G9" s="170" t="s">
        <v>195</v>
      </c>
      <c r="H9" s="176"/>
    </row>
    <row r="10" spans="1:8">
      <c r="A10" s="187" t="s">
        <v>184</v>
      </c>
      <c r="B10" s="168" t="s">
        <v>146</v>
      </c>
      <c r="C10" s="161" t="s">
        <v>26</v>
      </c>
      <c r="D10" s="161" t="str">
        <f>IF(Tabla7[[#This Row],[Prioridad]]="Baja", "Severidad 3", IF(Tabla7[[#This Row],[Prioridad]]="Media", "Severidad 2", IF(Tabla7[[#This Row],[Prioridad]]="Media", "Severidad 1")))</f>
        <v>Severidad 3</v>
      </c>
      <c r="E10" s="162">
        <f>VLOOKUP(Tabla7[[#This Row],[Caso de Prueba]],CasoPrueba[[#All],[Código Iteración]:[Fecha Real]],12,TRUE)</f>
        <v>41153</v>
      </c>
      <c r="F10" s="163" t="s">
        <v>192</v>
      </c>
      <c r="G10" s="170" t="s">
        <v>195</v>
      </c>
      <c r="H10" s="176"/>
    </row>
    <row r="11" spans="1:8" ht="25.5">
      <c r="A11" s="187" t="s">
        <v>194</v>
      </c>
      <c r="B11" s="168" t="s">
        <v>146</v>
      </c>
      <c r="C11" s="161" t="s">
        <v>26</v>
      </c>
      <c r="D11" s="161" t="str">
        <f>IF(Tabla7[[#This Row],[Prioridad]]="Baja", "Severidad 3", IF(Tabla7[[#This Row],[Prioridad]]="Media", "Severidad 2", IF(Tabla7[[#This Row],[Prioridad]]="Media", "Severidad 1")))</f>
        <v>Severidad 3</v>
      </c>
      <c r="E11" s="162">
        <f>VLOOKUP(Tabla7[[#This Row],[Caso de Prueba]],CasoPrueba[[#All],[Código Iteración]:[Fecha Real]],12,TRUE)</f>
        <v>41153</v>
      </c>
      <c r="F11" s="163" t="s">
        <v>193</v>
      </c>
      <c r="G11" s="170" t="s">
        <v>199</v>
      </c>
      <c r="H11" s="176"/>
    </row>
    <row r="12" spans="1:8" ht="25.5">
      <c r="A12" s="187" t="s">
        <v>203</v>
      </c>
      <c r="B12" s="168" t="s">
        <v>209</v>
      </c>
      <c r="C12" s="161" t="s">
        <v>26</v>
      </c>
      <c r="D12" s="161" t="str">
        <f>IF(Tabla7[[#This Row],[Prioridad]]="Baja", "Severidad 3", IF(Tabla7[[#This Row],[Prioridad]]="Media", "Severidad 2", IF(Tabla7[[#This Row],[Prioridad]]="Media", "Severidad 1")))</f>
        <v>Severidad 3</v>
      </c>
      <c r="E12" s="162">
        <f>VLOOKUP(Tabla7[[#This Row],[Caso de Prueba]],CasoPrueba[[#All],[Código Iteración]:[Fecha Real]],12,TRUE)</f>
        <v>41169</v>
      </c>
      <c r="F12" s="171" t="s">
        <v>207</v>
      </c>
      <c r="G12" s="170" t="s">
        <v>208</v>
      </c>
      <c r="H12" s="176"/>
    </row>
    <row r="13" spans="1:8" ht="25.5">
      <c r="A13" s="187" t="s">
        <v>204</v>
      </c>
      <c r="B13" s="168" t="s">
        <v>209</v>
      </c>
      <c r="C13" s="161" t="s">
        <v>26</v>
      </c>
      <c r="D13" s="161" t="str">
        <f>IF(Tabla7[[#This Row],[Prioridad]]="Baja", "Severidad 3", IF(Tabla7[[#This Row],[Prioridad]]="Media", "Severidad 2", IF(Tabla7[[#This Row],[Prioridad]]="Media", "Severidad 1")))</f>
        <v>Severidad 3</v>
      </c>
      <c r="E13" s="162">
        <f>VLOOKUP(Tabla7[[#This Row],[Caso de Prueba]],CasoPrueba[[#All],[Código Iteración]:[Fecha Real]],12,TRUE)</f>
        <v>41169</v>
      </c>
      <c r="F13" s="163" t="s">
        <v>231</v>
      </c>
      <c r="G13" s="170" t="s">
        <v>198</v>
      </c>
      <c r="H13" s="176"/>
    </row>
    <row r="14" spans="1:8" ht="38.25">
      <c r="A14" s="187" t="s">
        <v>205</v>
      </c>
      <c r="B14" s="168" t="s">
        <v>209</v>
      </c>
      <c r="C14" s="161" t="s">
        <v>26</v>
      </c>
      <c r="D14" s="161" t="str">
        <f>IF(Tabla7[[#This Row],[Prioridad]]="Baja", "Severidad 3", IF(Tabla7[[#This Row],[Prioridad]]="Media", "Severidad 2", IF(Tabla7[[#This Row],[Prioridad]]="Media", "Severidad 1")))</f>
        <v>Severidad 3</v>
      </c>
      <c r="E14" s="162">
        <f>VLOOKUP(Tabla7[[#This Row],[Caso de Prueba]],CasoPrueba[[#All],[Código Iteración]:[Fecha Real]],12,TRUE)</f>
        <v>41169</v>
      </c>
      <c r="F14" s="163" t="s">
        <v>225</v>
      </c>
      <c r="G14" s="170" t="s">
        <v>195</v>
      </c>
      <c r="H14" s="176"/>
    </row>
    <row r="15" spans="1:8">
      <c r="A15" s="187" t="s">
        <v>206</v>
      </c>
      <c r="B15" s="168" t="s">
        <v>209</v>
      </c>
      <c r="C15" s="161" t="s">
        <v>26</v>
      </c>
      <c r="D15" s="161" t="str">
        <f>IF(Tabla7[[#This Row],[Prioridad]]="Baja", "Severidad 3", IF(Tabla7[[#This Row],[Prioridad]]="Media", "Severidad 2", IF(Tabla7[[#This Row],[Prioridad]]="Media", "Severidad 1")))</f>
        <v>Severidad 3</v>
      </c>
      <c r="E15" s="162">
        <f>VLOOKUP(Tabla7[[#This Row],[Caso de Prueba]],CasoPrueba[[#All],[Código Iteración]:[Fecha Real]],12,TRUE)</f>
        <v>41169</v>
      </c>
      <c r="F15" s="163" t="s">
        <v>227</v>
      </c>
      <c r="G15" s="170" t="s">
        <v>198</v>
      </c>
      <c r="H15" s="176"/>
    </row>
    <row r="16" spans="1:8">
      <c r="A16" s="187" t="s">
        <v>253</v>
      </c>
      <c r="B16" s="168" t="s">
        <v>247</v>
      </c>
      <c r="C16" s="161" t="s">
        <v>26</v>
      </c>
      <c r="D16" s="161" t="str">
        <f>IF(Tabla7[[#This Row],[Prioridad]]="Baja", "Severidad 3", IF(Tabla7[[#This Row],[Prioridad]]="Media", "Severidad 2", IF(Tabla7[[#This Row],[Prioridad]]="Media", "Severidad 1")))</f>
        <v>Severidad 3</v>
      </c>
      <c r="E16" s="162">
        <f>VLOOKUP(Tabla7[[#This Row],[Caso de Prueba]],CasoPrueba[[#All],[Código Iteración]:[Fecha Real]],12,TRUE)</f>
        <v>41171</v>
      </c>
      <c r="F16" s="163" t="s">
        <v>274</v>
      </c>
      <c r="G16" s="170" t="s">
        <v>195</v>
      </c>
      <c r="H16" s="176"/>
    </row>
    <row r="17" spans="1:8">
      <c r="A17" s="187" t="s">
        <v>254</v>
      </c>
      <c r="B17" s="168" t="s">
        <v>247</v>
      </c>
      <c r="C17" s="168" t="s">
        <v>26</v>
      </c>
      <c r="D17" s="161" t="str">
        <f>IF(Tabla7[[#This Row],[Prioridad]]="Baja", "Severidad 3", IF(Tabla7[[#This Row],[Prioridad]]="Media", "Severidad 2", IF(Tabla7[[#This Row],[Prioridad]]="Media", "Severidad 1")))</f>
        <v>Severidad 3</v>
      </c>
      <c r="E17" s="162">
        <f>VLOOKUP(Tabla7[[#This Row],[Caso de Prueba]],CasoPrueba[[#All],[Código Iteración]:[Fecha Real]],12,TRUE)</f>
        <v>41171</v>
      </c>
      <c r="F17" s="171" t="s">
        <v>275</v>
      </c>
      <c r="G17" s="170" t="s">
        <v>195</v>
      </c>
      <c r="H17" s="176"/>
    </row>
    <row r="18" spans="1:8">
      <c r="A18" s="187" t="s">
        <v>255</v>
      </c>
      <c r="B18" s="168" t="s">
        <v>252</v>
      </c>
      <c r="C18" s="168" t="s">
        <v>26</v>
      </c>
      <c r="D18" s="161" t="str">
        <f>IF(Tabla7[[#This Row],[Prioridad]]="Baja", "Severidad 3", IF(Tabla7[[#This Row],[Prioridad]]="Media", "Severidad 2", IF(Tabla7[[#This Row],[Prioridad]]="Media", "Severidad 1")))</f>
        <v>Severidad 3</v>
      </c>
      <c r="E18" s="162">
        <f>VLOOKUP(Tabla7[[#This Row],[Caso de Prueba]],CasoPrueba[[#All],[Código Iteración]:[Fecha Real]],12,TRUE)</f>
        <v>41179</v>
      </c>
      <c r="F18" s="163" t="s">
        <v>272</v>
      </c>
      <c r="G18" s="170" t="s">
        <v>195</v>
      </c>
      <c r="H18" s="176"/>
    </row>
    <row r="19" spans="1:8">
      <c r="A19" s="187" t="s">
        <v>265</v>
      </c>
      <c r="B19" s="168" t="s">
        <v>252</v>
      </c>
      <c r="C19" s="168" t="s">
        <v>26</v>
      </c>
      <c r="D19" s="161" t="str">
        <f>IF(Tabla7[[#This Row],[Prioridad]]="Baja", "Severidad 3", IF(Tabla7[[#This Row],[Prioridad]]="Media", "Severidad 2", IF(Tabla7[[#This Row],[Prioridad]]="Media", "Severidad 1")))</f>
        <v>Severidad 3</v>
      </c>
      <c r="E19" s="162">
        <f>VLOOKUP(Tabla7[[#This Row],[Caso de Prueba]],CasoPrueba[[#All],[Código Iteración]:[Fecha Real]],12,TRUE)</f>
        <v>41179</v>
      </c>
      <c r="F19" s="171" t="s">
        <v>273</v>
      </c>
      <c r="G19" s="170" t="s">
        <v>195</v>
      </c>
      <c r="H19" s="176"/>
    </row>
    <row r="20" spans="1:8">
      <c r="A20" s="187" t="s">
        <v>278</v>
      </c>
      <c r="B20" s="168" t="s">
        <v>252</v>
      </c>
      <c r="C20" s="168" t="s">
        <v>26</v>
      </c>
      <c r="D20" s="161" t="str">
        <f>IF(Tabla7[[#This Row],[Prioridad]]="Baja", "Severidad 3", IF(Tabla7[[#This Row],[Prioridad]]="Media", "Severidad 2", IF(Tabla7[[#This Row],[Prioridad]]="Media", "Severidad 1")))</f>
        <v>Severidad 3</v>
      </c>
      <c r="E20" s="162">
        <f>VLOOKUP(Tabla7[[#This Row],[Caso de Prueba]],CasoPrueba[[#All],[Código Iteración]:[Fecha Real]],12,TRUE)</f>
        <v>41179</v>
      </c>
      <c r="F20" s="171" t="s">
        <v>281</v>
      </c>
      <c r="G20" s="170" t="s">
        <v>199</v>
      </c>
      <c r="H20" s="176"/>
    </row>
    <row r="21" spans="1:8">
      <c r="A21" s="187" t="s">
        <v>279</v>
      </c>
      <c r="B21" s="161" t="s">
        <v>252</v>
      </c>
      <c r="C21" s="161" t="s">
        <v>26</v>
      </c>
      <c r="D21" s="161" t="str">
        <f>IF(Tabla7[[#This Row],[Prioridad]]="Baja", "Severidad 3", IF(Tabla7[[#This Row],[Prioridad]]="Media", "Severidad 2", IF(Tabla7[[#This Row],[Prioridad]]="Media", "Severidad 1")))</f>
        <v>Severidad 3</v>
      </c>
      <c r="E21" s="162">
        <f>VLOOKUP(Tabla7[[#This Row],[Caso de Prueba]],CasoPrueba[[#All],[Código Iteración]:[Fecha Real]],12,TRUE)</f>
        <v>41179</v>
      </c>
      <c r="F21" s="163" t="s">
        <v>276</v>
      </c>
      <c r="G21" s="188" t="s">
        <v>195</v>
      </c>
      <c r="H21" s="176"/>
    </row>
    <row r="22" spans="1:8">
      <c r="A22" s="187" t="s">
        <v>280</v>
      </c>
      <c r="B22" s="168" t="s">
        <v>252</v>
      </c>
      <c r="C22" s="168" t="s">
        <v>26</v>
      </c>
      <c r="D22" s="168" t="str">
        <f>IF(Tabla7[[#This Row],[Prioridad]]="Baja", "Severidad 3", IF(Tabla7[[#This Row],[Prioridad]]="Media", "Severidad 2", IF(Tabla7[[#This Row],[Prioridad]]="Media", "Severidad 1")))</f>
        <v>Severidad 3</v>
      </c>
      <c r="E22" s="169">
        <f>VLOOKUP(Tabla7[[#This Row],[Caso de Prueba]],CasoPrueba[[#All],[Código Iteración]:[Fecha Real]],12,TRUE)</f>
        <v>41179</v>
      </c>
      <c r="F22" s="171" t="s">
        <v>277</v>
      </c>
      <c r="G22" s="170" t="s">
        <v>195</v>
      </c>
    </row>
    <row r="23" spans="1:8">
      <c r="A23" s="187" t="s">
        <v>304</v>
      </c>
      <c r="B23" s="168" t="s">
        <v>282</v>
      </c>
      <c r="C23" s="168" t="s">
        <v>26</v>
      </c>
      <c r="D23" s="168" t="str">
        <f>IF(Tabla7[[#This Row],[Prioridad]]="Baja", "Severidad 3", IF(Tabla7[[#This Row],[Prioridad]]="Media", "Severidad 2", IF(Tabla7[[#This Row],[Prioridad]]="Media", "Severidad 1")))</f>
        <v>Severidad 3</v>
      </c>
      <c r="E23" s="169">
        <f>VLOOKUP(Tabla7[[#This Row],[Caso de Prueba]],CasoPrueba[[#All],[Código Iteración]:[Fecha Real]],12,TRUE)</f>
        <v>41181</v>
      </c>
      <c r="F23" s="171" t="s">
        <v>284</v>
      </c>
      <c r="G23" s="170" t="s">
        <v>198</v>
      </c>
    </row>
    <row r="24" spans="1:8">
      <c r="A24" s="187" t="s">
        <v>305</v>
      </c>
      <c r="B24" s="168" t="s">
        <v>282</v>
      </c>
      <c r="C24" s="161" t="s">
        <v>26</v>
      </c>
      <c r="D24" s="161" t="str">
        <f>IF(Tabla7[[#This Row],[Prioridad]]="Baja", "Severidad 3", IF(Tabla7[[#This Row],[Prioridad]]="Media", "Severidad 2", IF(Tabla7[[#This Row],[Prioridad]]="Media", "Severidad 1")))</f>
        <v>Severidad 3</v>
      </c>
      <c r="E24" s="162">
        <f>VLOOKUP(Tabla7[[#This Row],[Caso de Prueba]],CasoPrueba[[#All],[Código Iteración]:[Fecha Real]],12,TRUE)</f>
        <v>41181</v>
      </c>
      <c r="F24" s="171" t="s">
        <v>303</v>
      </c>
      <c r="G24" s="188" t="s">
        <v>195</v>
      </c>
    </row>
    <row r="25" spans="1:8" ht="25.5">
      <c r="A25" s="187" t="s">
        <v>306</v>
      </c>
      <c r="B25" s="168" t="s">
        <v>282</v>
      </c>
      <c r="C25" s="161" t="s">
        <v>26</v>
      </c>
      <c r="D25" s="161" t="str">
        <f>IF(Tabla7[[#This Row],[Prioridad]]="Baja", "Severidad 3", IF(Tabla7[[#This Row],[Prioridad]]="Media", "Severidad 2", IF(Tabla7[[#This Row],[Prioridad]]="Media", "Severidad 1")))</f>
        <v>Severidad 3</v>
      </c>
      <c r="E25" s="162">
        <f>VLOOKUP(Tabla7[[#This Row],[Caso de Prueba]],CasoPrueba[[#All],[Código Iteración]:[Fecha Real]],12,TRUE)</f>
        <v>41181</v>
      </c>
      <c r="F25" s="163" t="s">
        <v>291</v>
      </c>
      <c r="G25" s="188" t="s">
        <v>198</v>
      </c>
    </row>
    <row r="26" spans="1:8">
      <c r="A26" s="187" t="s">
        <v>307</v>
      </c>
      <c r="B26" s="168" t="s">
        <v>282</v>
      </c>
      <c r="C26" s="168" t="s">
        <v>26</v>
      </c>
      <c r="D26" s="168" t="str">
        <f>IF(Tabla7[[#This Row],[Prioridad]]="Baja", "Severidad 3", IF(Tabla7[[#This Row],[Prioridad]]="Media", "Severidad 2", IF(Tabla7[[#This Row],[Prioridad]]="Media", "Severidad 1")))</f>
        <v>Severidad 3</v>
      </c>
      <c r="E26" s="169">
        <f>VLOOKUP(Tabla7[[#This Row],[Caso de Prueba]],CasoPrueba[[#All],[Código Iteración]:[Fecha Real]],12,TRUE)</f>
        <v>41181</v>
      </c>
      <c r="F26" s="163" t="s">
        <v>292</v>
      </c>
      <c r="G26" s="170" t="s">
        <v>199</v>
      </c>
    </row>
    <row r="27" spans="1:8">
      <c r="A27" s="187" t="s">
        <v>308</v>
      </c>
      <c r="B27" s="161" t="s">
        <v>282</v>
      </c>
      <c r="C27" s="161" t="s">
        <v>26</v>
      </c>
      <c r="D27" s="161" t="str">
        <f>IF(Tabla7[[#This Row],[Prioridad]]="Baja", "Severidad 3", IF(Tabla7[[#This Row],[Prioridad]]="Media", "Severidad 2", IF(Tabla7[[#This Row],[Prioridad]]="Media", "Severidad 1")))</f>
        <v>Severidad 3</v>
      </c>
      <c r="E27" s="162">
        <f>VLOOKUP(Tabla7[[#This Row],[Caso de Prueba]],CasoPrueba[[#All],[Código Iteración]:[Fecha Real]],12,TRUE)</f>
        <v>41181</v>
      </c>
      <c r="F27" s="163" t="s">
        <v>293</v>
      </c>
      <c r="G27" s="188" t="s">
        <v>198</v>
      </c>
    </row>
    <row r="28" spans="1:8">
      <c r="A28" s="187" t="s">
        <v>309</v>
      </c>
      <c r="B28" s="161" t="s">
        <v>282</v>
      </c>
      <c r="C28" s="161" t="s">
        <v>26</v>
      </c>
      <c r="D28" s="161" t="str">
        <f>IF(Tabla7[[#This Row],[Prioridad]]="Baja", "Severidad 3", IF(Tabla7[[#This Row],[Prioridad]]="Media", "Severidad 2", IF(Tabla7[[#This Row],[Prioridad]]="Media", "Severidad 1")))</f>
        <v>Severidad 3</v>
      </c>
      <c r="E28" s="162">
        <f>VLOOKUP(Tabla7[[#This Row],[Caso de Prueba]],CasoPrueba[[#All],[Código Iteración]:[Fecha Real]],12,TRUE)</f>
        <v>41181</v>
      </c>
      <c r="F28" s="163" t="s">
        <v>294</v>
      </c>
      <c r="G28" s="188" t="s">
        <v>198</v>
      </c>
    </row>
    <row r="29" spans="1:8">
      <c r="A29" s="187" t="s">
        <v>310</v>
      </c>
      <c r="B29" s="168" t="s">
        <v>282</v>
      </c>
      <c r="C29" s="168" t="s">
        <v>26</v>
      </c>
      <c r="D29" s="168" t="str">
        <f>IF(Tabla7[[#This Row],[Prioridad]]="Baja", "Severidad 3", IF(Tabla7[[#This Row],[Prioridad]]="Media", "Severidad 2", IF(Tabla7[[#This Row],[Prioridad]]="Media", "Severidad 1")))</f>
        <v>Severidad 3</v>
      </c>
      <c r="E29" s="169">
        <f>VLOOKUP(Tabla7[[#This Row],[Caso de Prueba]],CasoPrueba[[#All],[Código Iteración]:[Fecha Real]],12,TRUE)</f>
        <v>41181</v>
      </c>
      <c r="F29" s="163" t="s">
        <v>295</v>
      </c>
      <c r="G29" s="170" t="s">
        <v>208</v>
      </c>
    </row>
    <row r="30" spans="1:8">
      <c r="A30" s="187" t="s">
        <v>311</v>
      </c>
      <c r="B30" s="161" t="s">
        <v>282</v>
      </c>
      <c r="C30" s="161" t="s">
        <v>26</v>
      </c>
      <c r="D30" s="161" t="str">
        <f>IF(Tabla7[[#This Row],[Prioridad]]="Baja", "Severidad 3", IF(Tabla7[[#This Row],[Prioridad]]="Media", "Severidad 2", IF(Tabla7[[#This Row],[Prioridad]]="Media", "Severidad 1")))</f>
        <v>Severidad 3</v>
      </c>
      <c r="E30" s="162">
        <f>VLOOKUP(Tabla7[[#This Row],[Caso de Prueba]],CasoPrueba[[#All],[Código Iteración]:[Fecha Real]],12,TRUE)</f>
        <v>41181</v>
      </c>
      <c r="F30" s="171" t="s">
        <v>297</v>
      </c>
      <c r="G30" s="188" t="s">
        <v>198</v>
      </c>
    </row>
    <row r="31" spans="1:8">
      <c r="A31" s="193"/>
      <c r="B31" s="168"/>
      <c r="C31" s="168"/>
      <c r="D31" s="168"/>
      <c r="E31" s="169"/>
      <c r="F31" s="168"/>
      <c r="G31" s="170"/>
    </row>
  </sheetData>
  <mergeCells count="1">
    <mergeCell ref="A1:G1"/>
  </mergeCells>
  <dataValidations count="3">
    <dataValidation type="list" allowBlank="1" showInputMessage="1" showErrorMessage="1" sqref="D3:D30">
      <formula1>"Severidad 1, Severidad 2, Severidad 3"</formula1>
    </dataValidation>
    <dataValidation type="list" allowBlank="1" showInputMessage="1" showErrorMessage="1" sqref="C3:C30">
      <formula1>"Alta, Media, Baja"</formula1>
    </dataValidation>
    <dataValidation type="list" allowBlank="1" showInputMessage="1" showErrorMessage="1" sqref="G3:G30">
      <formula1>"Formato, Ortografía, Gramática, Puntuación, Estilo"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XFD3"/>
  <sheetViews>
    <sheetView zoomScale="90" zoomScaleNormal="90" workbookViewId="0">
      <selection activeCell="H7" sqref="H7"/>
    </sheetView>
  </sheetViews>
  <sheetFormatPr baseColWidth="10" defaultColWidth="0" defaultRowHeight="15"/>
  <cols>
    <col min="1" max="4" width="13.28515625" style="31" customWidth="1"/>
    <col min="5" max="5" width="18.28515625" style="31" customWidth="1"/>
    <col min="6" max="7" width="13.28515625" style="32" customWidth="1"/>
    <col min="8" max="9" width="38.140625" style="31" customWidth="1"/>
    <col min="10" max="10" width="13.28515625" style="31" customWidth="1"/>
    <col min="11" max="11" width="11.42578125" style="31" customWidth="1"/>
    <col min="12" max="16384" width="0" style="31" hidden="1"/>
  </cols>
  <sheetData>
    <row r="1" spans="1:13 16384:16384" customFormat="1" ht="31.5">
      <c r="A1" s="221" t="s">
        <v>98</v>
      </c>
      <c r="B1" s="221"/>
      <c r="C1" s="221"/>
      <c r="D1" s="221"/>
      <c r="E1" s="221"/>
      <c r="F1" s="221"/>
      <c r="G1" s="221"/>
      <c r="H1" s="221"/>
      <c r="I1" s="221"/>
      <c r="J1" s="221"/>
      <c r="K1" s="35"/>
      <c r="L1" s="35"/>
      <c r="M1" t="s">
        <v>140</v>
      </c>
      <c r="XFD1" s="31"/>
    </row>
    <row r="2" spans="1:13 16384:16384" ht="39.75" customHeight="1">
      <c r="A2" s="133" t="s">
        <v>93</v>
      </c>
      <c r="B2" s="133" t="s">
        <v>86</v>
      </c>
      <c r="C2" s="133" t="s">
        <v>74</v>
      </c>
      <c r="D2" s="133" t="s">
        <v>87</v>
      </c>
      <c r="E2" s="133" t="s">
        <v>124</v>
      </c>
      <c r="F2" s="134" t="s">
        <v>94</v>
      </c>
      <c r="G2" s="134" t="s">
        <v>95</v>
      </c>
      <c r="H2" s="133" t="s">
        <v>96</v>
      </c>
      <c r="I2" s="133" t="s">
        <v>97</v>
      </c>
      <c r="J2" s="133" t="s">
        <v>90</v>
      </c>
      <c r="M2" s="31" t="s">
        <v>141</v>
      </c>
    </row>
    <row r="3" spans="1:13 16384:16384" ht="41.25" customHeight="1">
      <c r="A3" s="31" t="s">
        <v>121</v>
      </c>
      <c r="C3" s="33" t="e">
        <f>VLOOKUP(Consultas[[#This Row],[Caso de Prueba]],CasoPrueba[[#All],[Código Iteración]:[Prioridad]],7,TRUE)</f>
        <v>#N/A</v>
      </c>
      <c r="D3" s="31" t="s">
        <v>45</v>
      </c>
      <c r="J3" s="33">
        <f>IF((Consultas[[#This Row],[Fecha Respuesta]]-Consultas[[#This Row],[Fecha Solicitud]])&gt;=0,(Consultas[[#This Row],[Fecha Respuesta]]-Consultas[[#This Row],[Fecha Solicitud]])+1,0)</f>
        <v>1</v>
      </c>
      <c r="M3" s="31" t="s">
        <v>142</v>
      </c>
    </row>
  </sheetData>
  <mergeCells count="1">
    <mergeCell ref="A1:J1"/>
  </mergeCells>
  <dataValidations count="1">
    <dataValidation type="list" allowBlank="1" showInputMessage="1" showErrorMessage="1" sqref="E3">
      <formula1>$M$1:$M$3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Resumen!$P$23:$P$25</xm:f>
          </x14:formula1>
          <xm:sqref>D3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P10"/>
  <sheetViews>
    <sheetView zoomScale="85" zoomScaleNormal="85" workbookViewId="0">
      <selection activeCell="M11" sqref="M11"/>
    </sheetView>
  </sheetViews>
  <sheetFormatPr baseColWidth="10" defaultColWidth="0" defaultRowHeight="15"/>
  <cols>
    <col min="1" max="1" width="4.42578125" customWidth="1"/>
    <col min="2" max="2" width="10.85546875" bestFit="1" customWidth="1"/>
    <col min="3" max="3" width="9" bestFit="1" customWidth="1"/>
    <col min="4" max="4" width="6.5703125" bestFit="1" customWidth="1"/>
    <col min="5" max="5" width="10.85546875" bestFit="1" customWidth="1"/>
    <col min="6" max="6" width="10.5703125" bestFit="1" customWidth="1"/>
    <col min="7" max="7" width="9.7109375" bestFit="1" customWidth="1"/>
    <col min="8" max="8" width="11.5703125" bestFit="1" customWidth="1"/>
    <col min="9" max="9" width="14.7109375" bestFit="1" customWidth="1"/>
    <col min="10" max="10" width="8" bestFit="1" customWidth="1"/>
    <col min="11" max="16" width="11.42578125" customWidth="1"/>
    <col min="17" max="16384" width="11.42578125" hidden="1"/>
  </cols>
  <sheetData>
    <row r="1" spans="2:15" ht="27" customHeight="1"/>
    <row r="2" spans="2:15">
      <c r="B2" s="222" t="s">
        <v>106</v>
      </c>
      <c r="C2" s="222"/>
      <c r="D2" s="222"/>
      <c r="E2" s="222"/>
      <c r="F2" s="222"/>
      <c r="G2" s="222"/>
      <c r="H2" s="222"/>
      <c r="I2" s="222"/>
      <c r="J2" s="222"/>
      <c r="L2" s="222" t="s">
        <v>107</v>
      </c>
      <c r="M2" s="222"/>
      <c r="N2" s="222"/>
      <c r="O2" s="222"/>
    </row>
    <row r="3" spans="2:15">
      <c r="B3" s="172" t="s">
        <v>108</v>
      </c>
      <c r="C3" s="172" t="s">
        <v>100</v>
      </c>
      <c r="D3" s="172" t="s">
        <v>101</v>
      </c>
      <c r="E3" s="172" t="s">
        <v>17</v>
      </c>
      <c r="F3" s="172" t="s">
        <v>18</v>
      </c>
      <c r="G3" s="172" t="s">
        <v>19</v>
      </c>
      <c r="H3" s="172" t="s">
        <v>20</v>
      </c>
      <c r="I3" s="172" t="s">
        <v>102</v>
      </c>
      <c r="J3" s="172" t="s">
        <v>105</v>
      </c>
      <c r="L3" s="172" t="s">
        <v>108</v>
      </c>
      <c r="M3" s="172" t="s">
        <v>103</v>
      </c>
      <c r="N3" s="172" t="s">
        <v>104</v>
      </c>
      <c r="O3" s="172" t="s">
        <v>105</v>
      </c>
    </row>
    <row r="4" spans="2:15">
      <c r="B4" s="173">
        <v>41148</v>
      </c>
      <c r="C4" s="174">
        <v>1</v>
      </c>
      <c r="D4" s="174">
        <v>0</v>
      </c>
      <c r="E4" s="174">
        <v>0</v>
      </c>
      <c r="F4" s="174">
        <v>0</v>
      </c>
      <c r="G4" s="174">
        <v>0</v>
      </c>
      <c r="H4" s="174">
        <v>0</v>
      </c>
      <c r="I4" s="174">
        <v>0</v>
      </c>
      <c r="J4" s="177">
        <f>SUM(HistóricoEjecuciones[[#This Row],[Aciertos]:[En Proceso]])</f>
        <v>1</v>
      </c>
      <c r="L4" s="173">
        <v>41148</v>
      </c>
      <c r="M4" s="174">
        <v>0</v>
      </c>
      <c r="N4" s="174">
        <v>3</v>
      </c>
      <c r="O4" s="175">
        <f>SUM(HistoricoIncidencias[[#This Row],[Abiertas]:[Cerradas]])</f>
        <v>3</v>
      </c>
    </row>
    <row r="5" spans="2:15">
      <c r="B5" s="173">
        <v>41150</v>
      </c>
      <c r="C5" s="174">
        <v>2</v>
      </c>
      <c r="D5" s="174">
        <v>0</v>
      </c>
      <c r="E5" s="174">
        <v>0</v>
      </c>
      <c r="F5" s="174">
        <v>0</v>
      </c>
      <c r="G5" s="174">
        <v>0</v>
      </c>
      <c r="H5" s="174">
        <v>0</v>
      </c>
      <c r="I5" s="174">
        <v>0</v>
      </c>
      <c r="J5" s="177">
        <f>SUM(HistóricoEjecuciones[[#This Row],[Aciertos]:[En Proceso]])</f>
        <v>2</v>
      </c>
      <c r="L5" s="173">
        <v>41150</v>
      </c>
      <c r="M5" s="174">
        <v>0</v>
      </c>
      <c r="N5" s="174">
        <v>4</v>
      </c>
      <c r="O5" s="175">
        <f>SUM(HistoricoIncidencias[[#This Row],[Abiertas]:[Cerradas]])</f>
        <v>4</v>
      </c>
    </row>
    <row r="6" spans="2:15">
      <c r="B6" s="173">
        <v>41153</v>
      </c>
      <c r="C6" s="174">
        <v>2</v>
      </c>
      <c r="D6" s="174">
        <v>0</v>
      </c>
      <c r="E6" s="174">
        <v>0</v>
      </c>
      <c r="F6" s="174">
        <v>1</v>
      </c>
      <c r="G6" s="174">
        <v>0</v>
      </c>
      <c r="H6" s="174">
        <v>0</v>
      </c>
      <c r="I6" s="174">
        <v>0</v>
      </c>
      <c r="J6" s="177">
        <f>SUM(HistóricoEjecuciones[[#This Row],[Aciertos]:[En Proceso]])</f>
        <v>3</v>
      </c>
      <c r="L6" s="173">
        <v>41153</v>
      </c>
      <c r="M6" s="174">
        <v>1</v>
      </c>
      <c r="N6" s="174">
        <v>4</v>
      </c>
      <c r="O6" s="175">
        <f>SUM(HistoricoIncidencias[[#This Row],[Abiertas]:[Cerradas]])</f>
        <v>5</v>
      </c>
    </row>
    <row r="7" spans="2:15">
      <c r="B7" s="181">
        <v>41170</v>
      </c>
      <c r="C7" s="179">
        <v>2</v>
      </c>
      <c r="D7" s="179">
        <v>0</v>
      </c>
      <c r="E7" s="179">
        <v>0</v>
      </c>
      <c r="F7" s="179">
        <v>2</v>
      </c>
      <c r="G7" s="179">
        <v>0</v>
      </c>
      <c r="H7" s="179">
        <v>0</v>
      </c>
      <c r="I7" s="179">
        <v>0</v>
      </c>
      <c r="J7" s="177">
        <f>SUM(HistóricoEjecuciones[[#This Row],[Aciertos]:[En Proceso]])</f>
        <v>4</v>
      </c>
      <c r="L7" s="181">
        <v>41170</v>
      </c>
      <c r="M7" s="179">
        <v>0</v>
      </c>
      <c r="N7" s="179">
        <v>13</v>
      </c>
      <c r="O7" s="180">
        <f>SUM(HistoricoIncidencias[[#This Row],[Abiertas]:[Cerradas]])</f>
        <v>13</v>
      </c>
    </row>
    <row r="8" spans="2:15">
      <c r="B8" s="181">
        <v>41171</v>
      </c>
      <c r="C8" s="179">
        <v>4</v>
      </c>
      <c r="D8" s="179">
        <v>0</v>
      </c>
      <c r="E8" s="179">
        <v>0</v>
      </c>
      <c r="F8" s="179">
        <v>1</v>
      </c>
      <c r="G8" s="179">
        <v>0</v>
      </c>
      <c r="H8" s="179">
        <v>0</v>
      </c>
      <c r="I8" s="179">
        <v>0</v>
      </c>
      <c r="J8" s="177">
        <f>SUM(HistóricoEjecuciones[[#This Row],[Aciertos]:[En Proceso]])</f>
        <v>5</v>
      </c>
      <c r="L8" s="181">
        <v>41171</v>
      </c>
      <c r="M8" s="179">
        <v>2</v>
      </c>
      <c r="N8" s="179">
        <v>13</v>
      </c>
      <c r="O8" s="180">
        <f>SUM(HistoricoIncidencias[[#This Row],[Abiertas]:[Cerradas]])</f>
        <v>15</v>
      </c>
    </row>
    <row r="9" spans="2:15">
      <c r="B9" s="181">
        <v>41179</v>
      </c>
      <c r="C9" s="179">
        <v>4</v>
      </c>
      <c r="D9" s="179">
        <v>0</v>
      </c>
      <c r="E9" s="179">
        <v>0</v>
      </c>
      <c r="F9" s="179">
        <v>2</v>
      </c>
      <c r="G9" s="179">
        <v>0</v>
      </c>
      <c r="H9" s="179">
        <v>0</v>
      </c>
      <c r="I9" s="179">
        <v>0</v>
      </c>
      <c r="J9" s="177">
        <f>SUM(HistóricoEjecuciones[[#This Row],[Aciertos]:[En Proceso]])</f>
        <v>6</v>
      </c>
      <c r="L9" s="181">
        <v>41179</v>
      </c>
      <c r="M9" s="179">
        <v>6</v>
      </c>
      <c r="N9" s="179">
        <v>13</v>
      </c>
      <c r="O9" s="180">
        <f>SUM(HistoricoIncidencias[[#This Row],[Abiertas]:[Cerradas]])</f>
        <v>19</v>
      </c>
    </row>
    <row r="10" spans="2:15">
      <c r="B10" s="181">
        <v>41181</v>
      </c>
      <c r="C10" s="179">
        <v>4</v>
      </c>
      <c r="D10" s="179">
        <v>0</v>
      </c>
      <c r="E10" s="179">
        <v>0</v>
      </c>
      <c r="F10" s="179">
        <v>2</v>
      </c>
      <c r="G10" s="179">
        <v>0</v>
      </c>
      <c r="H10" s="179">
        <v>1</v>
      </c>
      <c r="I10" s="179">
        <v>0</v>
      </c>
      <c r="J10" s="194">
        <f>SUM(HistóricoEjecuciones[[#This Row],[Aciertos]:[En Proceso]])</f>
        <v>7</v>
      </c>
      <c r="L10" s="181">
        <v>41181</v>
      </c>
      <c r="M10" s="179">
        <v>13</v>
      </c>
      <c r="N10" s="179">
        <v>13</v>
      </c>
      <c r="O10" s="180">
        <f>SUM(HistoricoIncidencias[[#This Row],[Abiertas]:[Cerradas]])</f>
        <v>26</v>
      </c>
    </row>
  </sheetData>
  <mergeCells count="2">
    <mergeCell ref="B2:J2"/>
    <mergeCell ref="L2:O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nsertarNuevoHistorico">
                <anchor moveWithCells="1">
                  <from>
                    <xdr:col>1</xdr:col>
                    <xdr:colOff>0</xdr:colOff>
                    <xdr:row>0</xdr:row>
                    <xdr:rowOff>38100</xdr:rowOff>
                  </from>
                  <to>
                    <xdr:col>15</xdr:col>
                    <xdr:colOff>752475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R93"/>
  <sheetViews>
    <sheetView topLeftCell="A28" zoomScale="85" zoomScaleNormal="85" workbookViewId="0">
      <selection activeCell="B65" sqref="B65"/>
    </sheetView>
  </sheetViews>
  <sheetFormatPr baseColWidth="10" defaultColWidth="11.42578125" defaultRowHeight="15"/>
  <cols>
    <col min="1" max="1" width="4.28515625" customWidth="1"/>
    <col min="2" max="2" width="15.85546875" customWidth="1"/>
    <col min="3" max="3" width="19.42578125" customWidth="1"/>
    <col min="6" max="6" width="3.5703125" customWidth="1"/>
    <col min="7" max="7" width="15.85546875" customWidth="1"/>
    <col min="8" max="8" width="18.7109375" bestFit="1" customWidth="1"/>
    <col min="9" max="9" width="5.140625" customWidth="1"/>
    <col min="12" max="12" width="15.85546875" customWidth="1"/>
    <col min="13" max="13" width="16.42578125" bestFit="1" customWidth="1"/>
    <col min="17" max="17" width="8.140625" customWidth="1"/>
  </cols>
  <sheetData>
    <row r="1" spans="1:18" ht="21">
      <c r="A1" s="223" t="s">
        <v>110</v>
      </c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</row>
    <row r="22" spans="1:18" ht="21">
      <c r="A22" s="223" t="s">
        <v>111</v>
      </c>
      <c r="B22" s="223"/>
      <c r="C22" s="223"/>
      <c r="D22" s="223"/>
      <c r="E22" s="223"/>
      <c r="F22" s="223"/>
      <c r="G22" s="223"/>
      <c r="H22" s="223"/>
      <c r="I22" s="223"/>
      <c r="J22" s="223"/>
      <c r="K22" s="223"/>
      <c r="L22" s="223"/>
      <c r="M22" s="223"/>
      <c r="N22" s="223"/>
      <c r="O22" s="223"/>
      <c r="P22" s="223"/>
      <c r="Q22" s="223"/>
      <c r="R22" s="223"/>
    </row>
    <row r="44" spans="1:18" ht="21">
      <c r="A44" s="223" t="s">
        <v>112</v>
      </c>
      <c r="B44" s="223"/>
      <c r="C44" s="223"/>
      <c r="D44" s="223"/>
      <c r="E44" s="223"/>
      <c r="F44" s="223"/>
      <c r="G44" s="223"/>
      <c r="H44" s="223"/>
      <c r="I44" s="223"/>
      <c r="J44" s="223"/>
      <c r="K44" s="223"/>
      <c r="L44" s="223"/>
      <c r="M44" s="223"/>
      <c r="N44" s="223"/>
      <c r="O44" s="223"/>
      <c r="P44" s="223"/>
      <c r="Q44" s="223"/>
      <c r="R44" s="223"/>
    </row>
    <row r="66" spans="1:18" ht="21">
      <c r="A66" s="223" t="s">
        <v>113</v>
      </c>
      <c r="B66" s="223"/>
      <c r="C66" s="223"/>
      <c r="D66" s="223"/>
      <c r="E66" s="223"/>
      <c r="F66" s="223"/>
      <c r="G66" s="223"/>
      <c r="H66" s="223"/>
      <c r="I66" s="223"/>
      <c r="J66" s="223"/>
      <c r="K66" s="223"/>
      <c r="L66" s="223"/>
      <c r="M66" s="223"/>
      <c r="N66" s="223"/>
      <c r="O66" s="223"/>
      <c r="P66" s="223"/>
      <c r="Q66" s="223"/>
      <c r="R66" s="223"/>
    </row>
    <row r="67" spans="1:18" ht="15.75" thickBot="1"/>
    <row r="68" spans="1:18" ht="15.75" thickBot="1">
      <c r="B68" s="224" t="s">
        <v>114</v>
      </c>
      <c r="C68" s="225"/>
      <c r="D68" s="225"/>
      <c r="E68" s="225"/>
      <c r="F68" s="226"/>
      <c r="G68" s="57">
        <f>AVERAGE(Observaciones[[#All],[Tiempo de Solución (Dias)]])</f>
        <v>6</v>
      </c>
      <c r="H68" s="58" t="s">
        <v>115</v>
      </c>
    </row>
    <row r="70" spans="1:18">
      <c r="B70" s="59" t="s">
        <v>116</v>
      </c>
      <c r="C70" t="s">
        <v>118</v>
      </c>
      <c r="G70" s="59" t="s">
        <v>116</v>
      </c>
      <c r="H70" t="s">
        <v>119</v>
      </c>
      <c r="L70" s="59" t="s">
        <v>116</v>
      </c>
      <c r="M70" t="s">
        <v>120</v>
      </c>
    </row>
    <row r="71" spans="1:18">
      <c r="B71" s="60" t="s">
        <v>33</v>
      </c>
      <c r="C71" s="34">
        <v>1</v>
      </c>
      <c r="G71" s="60" t="s">
        <v>24</v>
      </c>
      <c r="H71" s="34">
        <v>2</v>
      </c>
      <c r="L71" s="60" t="s">
        <v>45</v>
      </c>
      <c r="M71" s="34">
        <v>2</v>
      </c>
    </row>
    <row r="72" spans="1:18">
      <c r="B72" s="60" t="s">
        <v>35</v>
      </c>
      <c r="C72" s="34">
        <v>1</v>
      </c>
      <c r="G72" s="60" t="s">
        <v>117</v>
      </c>
      <c r="H72" s="34">
        <v>2</v>
      </c>
      <c r="L72" s="60" t="s">
        <v>117</v>
      </c>
      <c r="M72" s="34">
        <v>2</v>
      </c>
    </row>
    <row r="73" spans="1:18">
      <c r="B73" s="60" t="s">
        <v>117</v>
      </c>
      <c r="C73" s="34">
        <v>2</v>
      </c>
    </row>
    <row r="87" spans="1:18" ht="21">
      <c r="A87" s="223" t="s">
        <v>122</v>
      </c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23"/>
    </row>
    <row r="88" spans="1:18" ht="15.75" thickBot="1"/>
    <row r="89" spans="1:18" ht="15.75" thickBot="1">
      <c r="B89" s="224" t="s">
        <v>123</v>
      </c>
      <c r="C89" s="225"/>
      <c r="D89" s="225"/>
      <c r="E89" s="225"/>
      <c r="F89" s="226"/>
      <c r="G89" s="57">
        <f>AVERAGE(Consultas[[#All],[Tiempo de Solución]])</f>
        <v>1</v>
      </c>
      <c r="H89" s="58" t="s">
        <v>115</v>
      </c>
    </row>
    <row r="91" spans="1:18">
      <c r="B91" s="59" t="s">
        <v>116</v>
      </c>
      <c r="C91" t="s">
        <v>125</v>
      </c>
      <c r="G91" s="59" t="s">
        <v>116</v>
      </c>
      <c r="H91" t="s">
        <v>119</v>
      </c>
      <c r="L91" s="59" t="s">
        <v>116</v>
      </c>
      <c r="M91" t="s">
        <v>120</v>
      </c>
    </row>
    <row r="92" spans="1:18">
      <c r="B92" s="60" t="s">
        <v>138</v>
      </c>
      <c r="C92" s="34"/>
      <c r="G92" s="60" t="s">
        <v>139</v>
      </c>
      <c r="H92" s="34">
        <v>1</v>
      </c>
      <c r="L92" s="60" t="s">
        <v>45</v>
      </c>
      <c r="M92" s="34">
        <v>1</v>
      </c>
    </row>
    <row r="93" spans="1:18">
      <c r="B93" s="60" t="s">
        <v>117</v>
      </c>
      <c r="C93" s="34"/>
      <c r="G93" s="60" t="s">
        <v>117</v>
      </c>
      <c r="H93" s="34">
        <v>1</v>
      </c>
      <c r="L93" s="60" t="s">
        <v>117</v>
      </c>
      <c r="M93" s="34">
        <v>1</v>
      </c>
    </row>
  </sheetData>
  <mergeCells count="7">
    <mergeCell ref="A87:R87"/>
    <mergeCell ref="B89:F89"/>
    <mergeCell ref="A1:R1"/>
    <mergeCell ref="A22:R22"/>
    <mergeCell ref="A44:R44"/>
    <mergeCell ref="A66:R66"/>
    <mergeCell ref="B68:F68"/>
  </mergeCells>
  <pageMargins left="0.7" right="0.7" top="0.75" bottom="0.75" header="0.3" footer="0.3"/>
  <drawing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General</vt:lpstr>
      <vt:lpstr>Resumen</vt:lpstr>
      <vt:lpstr>Iteracion</vt:lpstr>
      <vt:lpstr>Observaciones</vt:lpstr>
      <vt:lpstr>Formatos, Estilos y Ortografía</vt:lpstr>
      <vt:lpstr>Consultas</vt:lpstr>
      <vt:lpstr>HistoricoAvance</vt:lpstr>
      <vt:lpstr>CuadrosResumen</vt:lpstr>
      <vt:lpstr>Formatos</vt:lpstr>
    </vt:vector>
  </TitlesOfParts>
  <Company>Delaware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oecastillom</dc:creator>
  <cp:lastModifiedBy>Henry</cp:lastModifiedBy>
  <dcterms:created xsi:type="dcterms:W3CDTF">2011-02-09T13:28:15Z</dcterms:created>
  <dcterms:modified xsi:type="dcterms:W3CDTF">2012-10-10T23:55:20Z</dcterms:modified>
</cp:coreProperties>
</file>